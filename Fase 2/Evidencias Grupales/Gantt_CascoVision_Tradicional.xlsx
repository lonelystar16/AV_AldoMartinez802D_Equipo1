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Hitos del cu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/mm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FF"/>
    </font>
    <font>
      <name val="Arial"/>
      <b val="1"/>
    </font>
    <font>
      <name val="Arial"/>
      <color rgb="00595959"/>
      <sz val="8"/>
    </font>
    <font>
      <name val="Arial"/>
      <i val="1"/>
      <color rgb="00595959"/>
      <sz val="8"/>
    </font>
    <font>
      <name val="Arial"/>
      <b val="1"/>
      <color rgb="00FFFFFF"/>
    </font>
    <font>
      <name val="Arial"/>
      <b val="1"/>
      <color rgb="00C00000"/>
    </font>
    <font>
      <name val="Arial"/>
      <i val="1"/>
      <color rgb="00C00000"/>
    </font>
    <font>
      <name val="Arial"/>
      <color theme="1"/>
    </font>
    <font>
      <name val="Arial"/>
      <i val="1"/>
      <color rgb="00595959"/>
      <sz val="9"/>
    </font>
    <font>
      <name val="Arial"/>
      <b val="1"/>
      <sz val="13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4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6" fillId="2" borderId="1" pivotButton="0" quotePrefix="0" xfId="0"/>
    <xf numFmtId="0" fontId="2" fillId="4" borderId="1" pivotButton="0" quotePrefix="0" xfId="0"/>
    <xf numFmtId="164" fontId="3" fillId="4" borderId="1" pivotButton="0" quotePrefix="0" xfId="0"/>
    <xf numFmtId="0" fontId="3" fillId="4" borderId="1" pivotButton="0" quotePrefix="0" xfId="0"/>
    <xf numFmtId="0" fontId="2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2" fillId="0" borderId="0" pivotButton="0" quotePrefix="0" xfId="0"/>
    <xf numFmtId="165" fontId="4" fillId="0" borderId="0" applyAlignment="1" pivotButton="0" quotePrefix="0" xfId="0">
      <alignment horizontal="center"/>
    </xf>
    <xf numFmtId="164" fontId="3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3" fillId="4" borderId="1" pivotButton="0" quotePrefix="0" xfId="0"/>
    <xf numFmtId="164" fontId="12" fillId="0" borderId="1" pivotButton="0" quotePrefix="0" xfId="0"/>
  </cellXfs>
  <cellStyles count="1">
    <cellStyle name="Normal" xfId="0" builtinId="0" hidden="0"/>
  </cellStyles>
  <dxfs count="9">
    <dxf>
      <fill>
        <patternFill patternType="solid">
          <fgColor rgb="00404040"/>
          <bgColor rgb="00404040"/>
        </patternFill>
      </fill>
    </dxf>
    <dxf>
      <fill>
        <patternFill patternType="solid">
          <fgColor rgb="007F7F7F"/>
          <bgColor rgb="007F7F7F"/>
        </patternFill>
      </fill>
    </dxf>
    <dxf>
      <fill>
        <patternFill patternType="solid">
          <fgColor rgb="004472C4"/>
          <bgColor rgb="004472C4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A5A5A5"/>
          <bgColor rgb="00A5A5A5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7030A0"/>
          <bgColor rgb="007030A0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26" customWidth="1" min="3" max="3"/>
    <col width="7" customWidth="1" min="4" max="4"/>
    <col width="8" customWidth="1" min="5" max="5"/>
    <col width="9" customWidth="1" min="6" max="6"/>
    <col width="7" customWidth="1" min="7" max="7"/>
    <col width="11" customWidth="1" min="8" max="8"/>
    <col width="11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1" t="inlineStr">
        <is>
          <t>CascoVision · Carta Gantt · Metodología tradicional (cascada)</t>
        </is>
      </c>
    </row>
    <row r="2">
      <c r="A2" s="2" t="inlineStr">
        <is>
          <t>Inicio del semestre</t>
        </is>
      </c>
      <c r="C2" s="25" t="n">
        <v>46244</v>
      </c>
      <c r="E2" s="2" t="inlineStr">
        <is>
          <t>Semana actual</t>
        </is>
      </c>
      <c r="G2" s="2">
        <f>MAX(1,MIN(18,INT((TODAY()-$C$2)/7)+1))</f>
        <v/>
      </c>
    </row>
    <row r="4" ht="30" customHeight="1">
      <c r="A4" s="4" t="inlineStr">
        <is>
          <t>ID</t>
        </is>
      </c>
      <c r="B4" s="4" t="inlineStr">
        <is>
          <t>Fase / Tarea</t>
        </is>
      </c>
      <c r="C4" s="4" t="inlineStr">
        <is>
          <t>Responsable</t>
        </is>
      </c>
      <c r="D4" s="4" t="inlineStr">
        <is>
          <t>Tipo</t>
        </is>
      </c>
      <c r="E4" s="4" t="inlineStr">
        <is>
          <t>Inicio (sem)</t>
        </is>
      </c>
      <c r="F4" s="4" t="inlineStr">
        <is>
          <t>Duración (sem)</t>
        </is>
      </c>
      <c r="G4" s="4" t="inlineStr">
        <is>
          <t>Fin (sem)</t>
        </is>
      </c>
      <c r="H4" s="4" t="inlineStr">
        <is>
          <t>Fecha inicio</t>
        </is>
      </c>
      <c r="I4" s="4" t="inlineStr">
        <is>
          <t>Fecha fin</t>
        </is>
      </c>
      <c r="J4" s="4" t="n">
        <v>1</v>
      </c>
      <c r="K4" s="4" t="n">
        <v>2</v>
      </c>
      <c r="L4" s="4" t="n">
        <v>3</v>
      </c>
      <c r="M4" s="4" t="n">
        <v>4</v>
      </c>
      <c r="N4" s="4" t="n">
        <v>5</v>
      </c>
      <c r="O4" s="4" t="n">
        <v>6</v>
      </c>
      <c r="P4" s="4" t="n">
        <v>7</v>
      </c>
      <c r="Q4" s="4" t="n">
        <v>8</v>
      </c>
      <c r="R4" s="4" t="n">
        <v>9</v>
      </c>
      <c r="S4" s="4" t="n">
        <v>10</v>
      </c>
      <c r="T4" s="4" t="n">
        <v>11</v>
      </c>
      <c r="U4" s="4" t="n">
        <v>12</v>
      </c>
      <c r="V4" s="4" t="n">
        <v>13</v>
      </c>
      <c r="W4" s="4" t="n">
        <v>14</v>
      </c>
      <c r="X4" s="4" t="n">
        <v>15</v>
      </c>
      <c r="Y4" s="4" t="n">
        <v>16</v>
      </c>
      <c r="Z4" s="4" t="n">
        <v>17</v>
      </c>
      <c r="AA4" s="4" t="n">
        <v>18</v>
      </c>
    </row>
    <row r="5">
      <c r="B5" s="5" t="inlineStr">
        <is>
          <t>Lunes de cada semana →</t>
        </is>
      </c>
      <c r="J5" s="26">
        <f>$C$2+(J$4-1)*7</f>
        <v/>
      </c>
      <c r="K5" s="26">
        <f>$C$2+(K$4-1)*7</f>
        <v/>
      </c>
      <c r="L5" s="26">
        <f>$C$2+(L$4-1)*7</f>
        <v/>
      </c>
      <c r="M5" s="26">
        <f>$C$2+(M$4-1)*7</f>
        <v/>
      </c>
      <c r="N5" s="26">
        <f>$C$2+(N$4-1)*7</f>
        <v/>
      </c>
      <c r="O5" s="26">
        <f>$C$2+(O$4-1)*7</f>
        <v/>
      </c>
      <c r="P5" s="26">
        <f>$C$2+(P$4-1)*7</f>
        <v/>
      </c>
      <c r="Q5" s="26">
        <f>$C$2+(Q$4-1)*7</f>
        <v/>
      </c>
      <c r="R5" s="26">
        <f>$C$2+(R$4-1)*7</f>
        <v/>
      </c>
      <c r="S5" s="26">
        <f>$C$2+(S$4-1)*7</f>
        <v/>
      </c>
      <c r="T5" s="26">
        <f>$C$2+(T$4-1)*7</f>
        <v/>
      </c>
      <c r="U5" s="26">
        <f>$C$2+(U$4-1)*7</f>
        <v/>
      </c>
      <c r="V5" s="26">
        <f>$C$2+(V$4-1)*7</f>
        <v/>
      </c>
      <c r="W5" s="26">
        <f>$C$2+(W$4-1)*7</f>
        <v/>
      </c>
      <c r="X5" s="26">
        <f>$C$2+(X$4-1)*7</f>
        <v/>
      </c>
      <c r="Y5" s="26">
        <f>$C$2+(Y$4-1)*7</f>
        <v/>
      </c>
      <c r="Z5" s="26">
        <f>$C$2+(Z$4-1)*7</f>
        <v/>
      </c>
      <c r="AA5" s="26">
        <f>$C$2+(AA$4-1)*7</f>
        <v/>
      </c>
    </row>
    <row r="6">
      <c r="A6" s="7" t="inlineStr">
        <is>
          <t>1</t>
        </is>
      </c>
      <c r="B6" s="8" t="inlineStr">
        <is>
          <t>Fase 1 · Inicio y planificación</t>
        </is>
      </c>
      <c r="C6" s="7" t="inlineStr">
        <is>
          <t>Iahn Vera</t>
        </is>
      </c>
      <c r="D6" s="7" t="inlineStr">
        <is>
          <t>Fase</t>
        </is>
      </c>
      <c r="E6" s="7">
        <f>MIN(E7:E9)</f>
        <v/>
      </c>
      <c r="F6" s="7">
        <f>G6-E6+1</f>
        <v/>
      </c>
      <c r="G6" s="7">
        <f>MAX(G7:G9)</f>
        <v/>
      </c>
      <c r="H6" s="27">
        <f>IF(E6="","",$C$2+(E6-1)*7)</f>
        <v/>
      </c>
      <c r="I6" s="27">
        <f>IF(G6="","",$C$2+(G6-1)*7+5)</f>
        <v/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>
      <c r="A7" s="10" t="inlineStr">
        <is>
          <t>1.1</t>
        </is>
      </c>
      <c r="B7" s="11" t="inlineStr">
        <is>
          <t xml:space="preserve">   Definición del proyecto y alcance</t>
        </is>
      </c>
      <c r="C7" s="10" t="inlineStr">
        <is>
          <t>Equipo</t>
        </is>
      </c>
      <c r="D7" s="10" t="inlineStr">
        <is>
          <t>Tarea</t>
        </is>
      </c>
      <c r="E7" s="12" t="n">
        <v>1</v>
      </c>
      <c r="F7" s="12" t="n">
        <v>3</v>
      </c>
      <c r="G7" s="10">
        <f>E7+F7-1</f>
        <v/>
      </c>
      <c r="H7" s="28">
        <f>IF(E7="","",$C$2+(E7-1)*7)</f>
        <v/>
      </c>
      <c r="I7" s="28">
        <f>IF(G7="","",$C$2+(G7-1)*7+5)</f>
        <v/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</row>
    <row r="8">
      <c r="A8" s="10" t="inlineStr">
        <is>
          <t>1.2</t>
        </is>
      </c>
      <c r="B8" s="11" t="inlineStr">
        <is>
          <t xml:space="preserve">   EDT, cronograma y stack tecnológico</t>
        </is>
      </c>
      <c r="C8" s="10" t="inlineStr">
        <is>
          <t>Iahn Vera</t>
        </is>
      </c>
      <c r="D8" s="10" t="inlineStr">
        <is>
          <t>Tarea</t>
        </is>
      </c>
      <c r="E8" s="12" t="n">
        <v>2</v>
      </c>
      <c r="F8" s="12" t="n">
        <v>2</v>
      </c>
      <c r="G8" s="10">
        <f>E8+F8-1</f>
        <v/>
      </c>
      <c r="H8" s="28">
        <f>IF(E8="","",$C$2+(E8-1)*7)</f>
        <v/>
      </c>
      <c r="I8" s="28">
        <f>IF(G8="","",$C$2+(G8-1)*7+5)</f>
        <v/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</row>
    <row r="9">
      <c r="A9" s="10" t="inlineStr">
        <is>
          <t>1.3</t>
        </is>
      </c>
      <c r="B9" s="11" t="inlineStr">
        <is>
          <t xml:space="preserve">   Presentación sumativa Fase 1</t>
        </is>
      </c>
      <c r="C9" s="10" t="inlineStr">
        <is>
          <t>Equipo</t>
        </is>
      </c>
      <c r="D9" s="10" t="inlineStr">
        <is>
          <t>Tarea</t>
        </is>
      </c>
      <c r="E9" s="12" t="n">
        <v>4</v>
      </c>
      <c r="F9" s="12" t="n">
        <v>1</v>
      </c>
      <c r="G9" s="10">
        <f>E9+F9-1</f>
        <v/>
      </c>
      <c r="H9" s="28">
        <f>IF(E9="","",$C$2+(E9-1)*7)</f>
        <v/>
      </c>
      <c r="I9" s="28">
        <f>IF(G9="","",$C$2+(G9-1)*7+5)</f>
        <v/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</row>
    <row r="10">
      <c r="A10" s="10" t="inlineStr">
        <is>
          <t>◆</t>
        </is>
      </c>
      <c r="B10" s="14" t="inlineStr">
        <is>
          <t xml:space="preserve">   Hito · Proyecto definido (Sumativa Fase 1)</t>
        </is>
      </c>
      <c r="C10" s="10" t="inlineStr">
        <is>
          <t>Iahn Vera</t>
        </is>
      </c>
      <c r="D10" s="10" t="inlineStr">
        <is>
          <t>Hito</t>
        </is>
      </c>
      <c r="E10" s="12" t="n">
        <v>4</v>
      </c>
      <c r="F10" s="10" t="n">
        <v>0</v>
      </c>
      <c r="G10" s="10">
        <f>E10</f>
        <v/>
      </c>
      <c r="H10" s="28">
        <f>IF(E10="","",$C$2+(E10-1)*7)</f>
        <v/>
      </c>
      <c r="I10" s="28">
        <f>IF(G10="","",$C$2+(G10-1)*7+5)</f>
        <v/>
      </c>
      <c r="J10" s="15">
        <f>IF(J$4=$E10,"◆","")</f>
        <v/>
      </c>
      <c r="K10" s="15">
        <f>IF(K$4=$E10,"◆","")</f>
        <v/>
      </c>
      <c r="L10" s="15">
        <f>IF(L$4=$E10,"◆","")</f>
        <v/>
      </c>
      <c r="M10" s="15">
        <f>IF(M$4=$E10,"◆","")</f>
        <v/>
      </c>
      <c r="N10" s="15">
        <f>IF(N$4=$E10,"◆","")</f>
        <v/>
      </c>
      <c r="O10" s="15">
        <f>IF(O$4=$E10,"◆","")</f>
        <v/>
      </c>
      <c r="P10" s="15">
        <f>IF(P$4=$E10,"◆","")</f>
        <v/>
      </c>
      <c r="Q10" s="15">
        <f>IF(Q$4=$E10,"◆","")</f>
        <v/>
      </c>
      <c r="R10" s="15">
        <f>IF(R$4=$E10,"◆","")</f>
        <v/>
      </c>
      <c r="S10" s="15">
        <f>IF(S$4=$E10,"◆","")</f>
        <v/>
      </c>
      <c r="T10" s="15">
        <f>IF(T$4=$E10,"◆","")</f>
        <v/>
      </c>
      <c r="U10" s="15">
        <f>IF(U$4=$E10,"◆","")</f>
        <v/>
      </c>
      <c r="V10" s="15">
        <f>IF(V$4=$E10,"◆","")</f>
        <v/>
      </c>
      <c r="W10" s="15">
        <f>IF(W$4=$E10,"◆","")</f>
        <v/>
      </c>
      <c r="X10" s="15">
        <f>IF(X$4=$E10,"◆","")</f>
        <v/>
      </c>
      <c r="Y10" s="15">
        <f>IF(Y$4=$E10,"◆","")</f>
        <v/>
      </c>
      <c r="Z10" s="15">
        <f>IF(Z$4=$E10,"◆","")</f>
        <v/>
      </c>
      <c r="AA10" s="15">
        <f>IF(AA$4=$E10,"◆","")</f>
        <v/>
      </c>
    </row>
    <row r="11">
      <c r="A11" s="7" t="inlineStr">
        <is>
          <t>2</t>
        </is>
      </c>
      <c r="B11" s="8" t="inlineStr">
        <is>
          <t>Fase 2 · Análisis de requerimientos</t>
        </is>
      </c>
      <c r="C11" s="7" t="inlineStr">
        <is>
          <t>Iahn Vera</t>
        </is>
      </c>
      <c r="D11" s="7" t="inlineStr">
        <is>
          <t>Fase</t>
        </is>
      </c>
      <c r="E11" s="7">
        <f>MIN(E12:E14)</f>
        <v/>
      </c>
      <c r="F11" s="7">
        <f>G11-E11+1</f>
        <v/>
      </c>
      <c r="G11" s="7">
        <f>MAX(G12:G14)</f>
        <v/>
      </c>
      <c r="H11" s="27">
        <f>IF(E11="","",$C$2+(E11-1)*7)</f>
        <v/>
      </c>
      <c r="I11" s="27">
        <f>IF(G11="","",$C$2+(G11-1)*7+5)</f>
        <v/>
      </c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10" t="inlineStr">
        <is>
          <t>2.1</t>
        </is>
      </c>
      <c r="B12" s="11" t="inlineStr">
        <is>
          <t xml:space="preserve">   Ajustes por retroalimentación Fase 1</t>
        </is>
      </c>
      <c r="C12" s="10" t="inlineStr">
        <is>
          <t>Iahn Vera</t>
        </is>
      </c>
      <c r="D12" s="10" t="inlineStr">
        <is>
          <t>Tarea</t>
        </is>
      </c>
      <c r="E12" s="12" t="n">
        <v>5</v>
      </c>
      <c r="F12" s="12" t="n">
        <v>2</v>
      </c>
      <c r="G12" s="10">
        <f>E12+F12-1</f>
        <v/>
      </c>
      <c r="H12" s="28">
        <f>IF(E12="","",$C$2+(E12-1)*7)</f>
        <v/>
      </c>
      <c r="I12" s="28">
        <f>IF(G12="","",$C$2+(G12-1)*7+5)</f>
        <v/>
      </c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</row>
    <row r="13">
      <c r="A13" s="10" t="inlineStr">
        <is>
          <t>2.2</t>
        </is>
      </c>
      <c r="B13" s="11" t="inlineStr">
        <is>
          <t xml:space="preserve">   Especificación de requerimientos (ERS)</t>
        </is>
      </c>
      <c r="C13" s="10" t="inlineStr">
        <is>
          <t>Iahn Vera / Joaquín Armijo</t>
        </is>
      </c>
      <c r="D13" s="10" t="inlineStr">
        <is>
          <t>Tarea</t>
        </is>
      </c>
      <c r="E13" s="12" t="n">
        <v>6</v>
      </c>
      <c r="F13" s="12" t="n">
        <v>2</v>
      </c>
      <c r="G13" s="10">
        <f>E13+F13-1</f>
        <v/>
      </c>
      <c r="H13" s="28">
        <f>IF(E13="","",$C$2+(E13-1)*7)</f>
        <v/>
      </c>
      <c r="I13" s="28">
        <f>IF(G13="","",$C$2+(G13-1)*7+5)</f>
        <v/>
      </c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</row>
    <row r="14">
      <c r="A14" s="10" t="inlineStr">
        <is>
          <t>2.3</t>
        </is>
      </c>
      <c r="B14" s="11" t="inlineStr">
        <is>
          <t xml:space="preserve">   Adquisición de hardware (M5Stack StickS3)</t>
        </is>
      </c>
      <c r="C14" s="10" t="inlineStr">
        <is>
          <t>Fernando Muñoz</t>
        </is>
      </c>
      <c r="D14" s="10" t="inlineStr">
        <is>
          <t>Tarea</t>
        </is>
      </c>
      <c r="E14" s="12" t="n">
        <v>7</v>
      </c>
      <c r="F14" s="12" t="n">
        <v>1</v>
      </c>
      <c r="G14" s="10">
        <f>E14+F14-1</f>
        <v/>
      </c>
      <c r="H14" s="28">
        <f>IF(E14="","",$C$2+(E14-1)*7)</f>
        <v/>
      </c>
      <c r="I14" s="28">
        <f>IF(G14="","",$C$2+(G14-1)*7+5)</f>
        <v/>
      </c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</row>
    <row r="15">
      <c r="A15" s="10" t="inlineStr">
        <is>
          <t>◆</t>
        </is>
      </c>
      <c r="B15" s="14" t="inlineStr">
        <is>
          <t xml:space="preserve">   Hito · ERS aprobada</t>
        </is>
      </c>
      <c r="C15" s="10" t="inlineStr">
        <is>
          <t>Iahn Vera</t>
        </is>
      </c>
      <c r="D15" s="10" t="inlineStr">
        <is>
          <t>Hito</t>
        </is>
      </c>
      <c r="E15" s="12" t="n">
        <v>7</v>
      </c>
      <c r="F15" s="10" t="n">
        <v>0</v>
      </c>
      <c r="G15" s="10">
        <f>E15</f>
        <v/>
      </c>
      <c r="H15" s="28">
        <f>IF(E15="","",$C$2+(E15-1)*7)</f>
        <v/>
      </c>
      <c r="I15" s="28">
        <f>IF(G15="","",$C$2+(G15-1)*7+5)</f>
        <v/>
      </c>
      <c r="J15" s="15">
        <f>IF(J$4=$E15,"◆","")</f>
        <v/>
      </c>
      <c r="K15" s="15">
        <f>IF(K$4=$E15,"◆","")</f>
        <v/>
      </c>
      <c r="L15" s="15">
        <f>IF(L$4=$E15,"◆","")</f>
        <v/>
      </c>
      <c r="M15" s="15">
        <f>IF(M$4=$E15,"◆","")</f>
        <v/>
      </c>
      <c r="N15" s="15">
        <f>IF(N$4=$E15,"◆","")</f>
        <v/>
      </c>
      <c r="O15" s="15">
        <f>IF(O$4=$E15,"◆","")</f>
        <v/>
      </c>
      <c r="P15" s="15">
        <f>IF(P$4=$E15,"◆","")</f>
        <v/>
      </c>
      <c r="Q15" s="15">
        <f>IF(Q$4=$E15,"◆","")</f>
        <v/>
      </c>
      <c r="R15" s="15">
        <f>IF(R$4=$E15,"◆","")</f>
        <v/>
      </c>
      <c r="S15" s="15">
        <f>IF(S$4=$E15,"◆","")</f>
        <v/>
      </c>
      <c r="T15" s="15">
        <f>IF(T$4=$E15,"◆","")</f>
        <v/>
      </c>
      <c r="U15" s="15">
        <f>IF(U$4=$E15,"◆","")</f>
        <v/>
      </c>
      <c r="V15" s="15">
        <f>IF(V$4=$E15,"◆","")</f>
        <v/>
      </c>
      <c r="W15" s="15">
        <f>IF(W$4=$E15,"◆","")</f>
        <v/>
      </c>
      <c r="X15" s="15">
        <f>IF(X$4=$E15,"◆","")</f>
        <v/>
      </c>
      <c r="Y15" s="15">
        <f>IF(Y$4=$E15,"◆","")</f>
        <v/>
      </c>
      <c r="Z15" s="15">
        <f>IF(Z$4=$E15,"◆","")</f>
        <v/>
      </c>
      <c r="AA15" s="15">
        <f>IF(AA$4=$E15,"◆","")</f>
        <v/>
      </c>
    </row>
    <row r="16">
      <c r="A16" s="7" t="inlineStr">
        <is>
          <t>3</t>
        </is>
      </c>
      <c r="B16" s="8" t="inlineStr">
        <is>
          <t>Fase 3 · Diseño</t>
        </is>
      </c>
      <c r="C16" s="7" t="inlineStr">
        <is>
          <t>Joaquín Armijo</t>
        </is>
      </c>
      <c r="D16" s="7" t="inlineStr">
        <is>
          <t>Fase</t>
        </is>
      </c>
      <c r="E16" s="7">
        <f>MIN(E17:E22)</f>
        <v/>
      </c>
      <c r="F16" s="7">
        <f>G16-E16+1</f>
        <v/>
      </c>
      <c r="G16" s="7">
        <f>MAX(G17:G22)</f>
        <v/>
      </c>
      <c r="H16" s="27">
        <f>IF(E16="","",$C$2+(E16-1)*7)</f>
        <v/>
      </c>
      <c r="I16" s="27">
        <f>IF(G16="","",$C$2+(G16-1)*7+5)</f>
        <v/>
      </c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10" t="inlineStr">
        <is>
          <t>3.1</t>
        </is>
      </c>
      <c r="B17" s="11" t="inlineStr">
        <is>
          <t xml:space="preserve">   Arquitectura y diagrama de despliegue</t>
        </is>
      </c>
      <c r="C17" s="10" t="inlineStr">
        <is>
          <t>Iahn Vera</t>
        </is>
      </c>
      <c r="D17" s="10" t="inlineStr">
        <is>
          <t>Tarea</t>
        </is>
      </c>
      <c r="E17" s="12" t="n">
        <v>8</v>
      </c>
      <c r="F17" s="12" t="n">
        <v>1</v>
      </c>
      <c r="G17" s="10">
        <f>E17+F17-1</f>
        <v/>
      </c>
      <c r="H17" s="28">
        <f>IF(E17="","",$C$2+(E17-1)*7)</f>
        <v/>
      </c>
      <c r="I17" s="28">
        <f>IF(G17="","",$C$2+(G17-1)*7+5)</f>
        <v/>
      </c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</row>
    <row r="18">
      <c r="A18" s="10" t="inlineStr">
        <is>
          <t>3.2</t>
        </is>
      </c>
      <c r="B18" s="11" t="inlineStr">
        <is>
          <t xml:space="preserve">   Modelo de datos (diagrama ER)</t>
        </is>
      </c>
      <c r="C18" s="10" t="inlineStr">
        <is>
          <t>Joaquín Armijo</t>
        </is>
      </c>
      <c r="D18" s="10" t="inlineStr">
        <is>
          <t>Tarea</t>
        </is>
      </c>
      <c r="E18" s="12" t="n">
        <v>8</v>
      </c>
      <c r="F18" s="12" t="n">
        <v>1</v>
      </c>
      <c r="G18" s="10">
        <f>E18+F18-1</f>
        <v/>
      </c>
      <c r="H18" s="28">
        <f>IF(E18="","",$C$2+(E18-1)*7)</f>
        <v/>
      </c>
      <c r="I18" s="28">
        <f>IF(G18="","",$C$2+(G18-1)*7+5)</f>
        <v/>
      </c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</row>
    <row r="19">
      <c r="A19" s="10" t="inlineStr">
        <is>
          <t>3.3</t>
        </is>
      </c>
      <c r="B19" s="11" t="inlineStr">
        <is>
          <t xml:space="preserve">   Diseño del protocolo de alerta (/alert, /health)</t>
        </is>
      </c>
      <c r="C19" s="10" t="inlineStr">
        <is>
          <t>Fernando Muñoz</t>
        </is>
      </c>
      <c r="D19" s="10" t="inlineStr">
        <is>
          <t>Tarea</t>
        </is>
      </c>
      <c r="E19" s="12" t="n">
        <v>8</v>
      </c>
      <c r="F19" s="12" t="n">
        <v>1</v>
      </c>
      <c r="G19" s="10">
        <f>E19+F19-1</f>
        <v/>
      </c>
      <c r="H19" s="28">
        <f>IF(E19="","",$C$2+(E19-1)*7)</f>
        <v/>
      </c>
      <c r="I19" s="28">
        <f>IF(G19="","",$C$2+(G19-1)*7+5)</f>
        <v/>
      </c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10" t="inlineStr">
        <is>
          <t>3.4</t>
        </is>
      </c>
      <c r="B20" s="11" t="inlineStr">
        <is>
          <t xml:space="preserve">   Diseño de interfaz (mockups dashboard)</t>
        </is>
      </c>
      <c r="C20" s="10" t="inlineStr">
        <is>
          <t>Benjamín Cáceres</t>
        </is>
      </c>
      <c r="D20" s="10" t="inlineStr">
        <is>
          <t>Tarea</t>
        </is>
      </c>
      <c r="E20" s="12" t="n">
        <v>8</v>
      </c>
      <c r="F20" s="12" t="n">
        <v>2</v>
      </c>
      <c r="G20" s="10">
        <f>E20+F20-1</f>
        <v/>
      </c>
      <c r="H20" s="28">
        <f>IF(E20="","",$C$2+(E20-1)*7)</f>
        <v/>
      </c>
      <c r="I20" s="28">
        <f>IF(G20="","",$C$2+(G20-1)*7+5)</f>
        <v/>
      </c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</row>
    <row r="21">
      <c r="A21" s="10" t="inlineStr">
        <is>
          <t>3.5</t>
        </is>
      </c>
      <c r="B21" s="11" t="inlineStr">
        <is>
          <t xml:space="preserve">   Plan de pruebas y criterios de aceptación</t>
        </is>
      </c>
      <c r="C21" s="10" t="inlineStr">
        <is>
          <t>Fernando Muñoz</t>
        </is>
      </c>
      <c r="D21" s="10" t="inlineStr">
        <is>
          <t>Tarea</t>
        </is>
      </c>
      <c r="E21" s="12" t="n">
        <v>9</v>
      </c>
      <c r="F21" s="12" t="n">
        <v>1</v>
      </c>
      <c r="G21" s="10">
        <f>E21+F21-1</f>
        <v/>
      </c>
      <c r="H21" s="28">
        <f>IF(E21="","",$C$2+(E21-1)*7)</f>
        <v/>
      </c>
      <c r="I21" s="28">
        <f>IF(G21="","",$C$2+(G21-1)*7+5)</f>
        <v/>
      </c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</row>
    <row r="22">
      <c r="A22" s="10" t="inlineStr">
        <is>
          <t>3.6</t>
        </is>
      </c>
      <c r="B22" s="11" t="inlineStr">
        <is>
          <t xml:space="preserve">   Diseño Docker (contenedores, redes, volúmenes)</t>
        </is>
      </c>
      <c r="C22" s="10" t="inlineStr">
        <is>
          <t>Joaquín Armijo</t>
        </is>
      </c>
      <c r="D22" s="10" t="inlineStr">
        <is>
          <t>Tarea</t>
        </is>
      </c>
      <c r="E22" s="12" t="n">
        <v>9</v>
      </c>
      <c r="F22" s="12" t="n">
        <v>1</v>
      </c>
      <c r="G22" s="10">
        <f>E22+F22-1</f>
        <v/>
      </c>
      <c r="H22" s="28">
        <f>IF(E22="","",$C$2+(E22-1)*7)</f>
        <v/>
      </c>
      <c r="I22" s="28">
        <f>IF(G22="","",$C$2+(G22-1)*7+5)</f>
        <v/>
      </c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</row>
    <row r="23">
      <c r="A23" s="10" t="inlineStr">
        <is>
          <t>◆</t>
        </is>
      </c>
      <c r="B23" s="14" t="inlineStr">
        <is>
          <t xml:space="preserve">   Hito · Documento de diseño aprobado</t>
        </is>
      </c>
      <c r="C23" s="10" t="inlineStr">
        <is>
          <t>Joaquín Armijo</t>
        </is>
      </c>
      <c r="D23" s="10" t="inlineStr">
        <is>
          <t>Hito</t>
        </is>
      </c>
      <c r="E23" s="12" t="n">
        <v>9</v>
      </c>
      <c r="F23" s="10" t="n">
        <v>0</v>
      </c>
      <c r="G23" s="10">
        <f>E23</f>
        <v/>
      </c>
      <c r="H23" s="28">
        <f>IF(E23="","",$C$2+(E23-1)*7)</f>
        <v/>
      </c>
      <c r="I23" s="28">
        <f>IF(G23="","",$C$2+(G23-1)*7+5)</f>
        <v/>
      </c>
      <c r="J23" s="15">
        <f>IF(J$4=$E23,"◆","")</f>
        <v/>
      </c>
      <c r="K23" s="15">
        <f>IF(K$4=$E23,"◆","")</f>
        <v/>
      </c>
      <c r="L23" s="15">
        <f>IF(L$4=$E23,"◆","")</f>
        <v/>
      </c>
      <c r="M23" s="15">
        <f>IF(M$4=$E23,"◆","")</f>
        <v/>
      </c>
      <c r="N23" s="15">
        <f>IF(N$4=$E23,"◆","")</f>
        <v/>
      </c>
      <c r="O23" s="15">
        <f>IF(O$4=$E23,"◆","")</f>
        <v/>
      </c>
      <c r="P23" s="15">
        <f>IF(P$4=$E23,"◆","")</f>
        <v/>
      </c>
      <c r="Q23" s="15">
        <f>IF(Q$4=$E23,"◆","")</f>
        <v/>
      </c>
      <c r="R23" s="15">
        <f>IF(R$4=$E23,"◆","")</f>
        <v/>
      </c>
      <c r="S23" s="15">
        <f>IF(S$4=$E23,"◆","")</f>
        <v/>
      </c>
      <c r="T23" s="15">
        <f>IF(T$4=$E23,"◆","")</f>
        <v/>
      </c>
      <c r="U23" s="15">
        <f>IF(U$4=$E23,"◆","")</f>
        <v/>
      </c>
      <c r="V23" s="15">
        <f>IF(V$4=$E23,"◆","")</f>
        <v/>
      </c>
      <c r="W23" s="15">
        <f>IF(W$4=$E23,"◆","")</f>
        <v/>
      </c>
      <c r="X23" s="15">
        <f>IF(X$4=$E23,"◆","")</f>
        <v/>
      </c>
      <c r="Y23" s="15">
        <f>IF(Y$4=$E23,"◆","")</f>
        <v/>
      </c>
      <c r="Z23" s="15">
        <f>IF(Z$4=$E23,"◆","")</f>
        <v/>
      </c>
      <c r="AA23" s="15">
        <f>IF(AA$4=$E23,"◆","")</f>
        <v/>
      </c>
    </row>
    <row r="24">
      <c r="A24" s="7" t="inlineStr">
        <is>
          <t>4</t>
        </is>
      </c>
      <c r="B24" s="8" t="inlineStr">
        <is>
          <t>Fase 4 · Construcción</t>
        </is>
      </c>
      <c r="C24" s="7" t="inlineStr">
        <is>
          <t>Joaquín Armijo</t>
        </is>
      </c>
      <c r="D24" s="7" t="inlineStr">
        <is>
          <t>Fase</t>
        </is>
      </c>
      <c r="E24" s="7">
        <f>MIN(E25:E35)</f>
        <v/>
      </c>
      <c r="F24" s="7">
        <f>G24-E24+1</f>
        <v/>
      </c>
      <c r="G24" s="7">
        <f>MAX(G25:G35)</f>
        <v/>
      </c>
      <c r="H24" s="27">
        <f>IF(E24="","",$C$2+(E24-1)*7)</f>
        <v/>
      </c>
      <c r="I24" s="27">
        <f>IF(G24="","",$C$2+(G24-1)*7+5)</f>
        <v/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>
      <c r="A25" s="10" t="inlineStr">
        <is>
          <t>4.1</t>
        </is>
      </c>
      <c r="B25" s="11" t="inlineStr">
        <is>
          <t xml:space="preserve">   Dataset y entrenamiento YOLOv8 → ONNX</t>
        </is>
      </c>
      <c r="C25" s="10" t="inlineStr">
        <is>
          <t>Iahn Vera</t>
        </is>
      </c>
      <c r="D25" s="10" t="inlineStr">
        <is>
          <t>Tarea</t>
        </is>
      </c>
      <c r="E25" s="12" t="n">
        <v>9</v>
      </c>
      <c r="F25" s="12" t="n">
        <v>3</v>
      </c>
      <c r="G25" s="10">
        <f>E25+F25-1</f>
        <v/>
      </c>
      <c r="H25" s="28">
        <f>IF(E25="","",$C$2+(E25-1)*7)</f>
        <v/>
      </c>
      <c r="I25" s="28">
        <f>IF(G25="","",$C$2+(G25-1)*7+5)</f>
        <v/>
      </c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</row>
    <row r="26">
      <c r="A26" s="10" t="inlineStr">
        <is>
          <t>4.2</t>
        </is>
      </c>
      <c r="B26" s="11" t="inlineStr">
        <is>
          <t xml:space="preserve">   Base de datos PostgreSQL y migraciones</t>
        </is>
      </c>
      <c r="C26" s="10" t="inlineStr">
        <is>
          <t>Joaquín Armijo</t>
        </is>
      </c>
      <c r="D26" s="10" t="inlineStr">
        <is>
          <t>Tarea</t>
        </is>
      </c>
      <c r="E26" s="12" t="n">
        <v>9</v>
      </c>
      <c r="F26" s="12" t="n">
        <v>2</v>
      </c>
      <c r="G26" s="10">
        <f>E26+F26-1</f>
        <v/>
      </c>
      <c r="H26" s="28">
        <f>IF(E26="","",$C$2+(E26-1)*7)</f>
        <v/>
      </c>
      <c r="I26" s="28">
        <f>IF(G26="","",$C$2+(G26-1)*7+5)</f>
        <v/>
      </c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</row>
    <row r="27">
      <c r="A27" s="10" t="inlineStr">
        <is>
          <t>4.3</t>
        </is>
      </c>
      <c r="B27" s="11" t="inlineStr">
        <is>
          <t xml:space="preserve">   API REST (FastAPI)</t>
        </is>
      </c>
      <c r="C27" s="10" t="inlineStr">
        <is>
          <t>Joaquín Armijo</t>
        </is>
      </c>
      <c r="D27" s="10" t="inlineStr">
        <is>
          <t>Tarea</t>
        </is>
      </c>
      <c r="E27" s="12" t="n">
        <v>10</v>
      </c>
      <c r="F27" s="12" t="n">
        <v>3</v>
      </c>
      <c r="G27" s="10">
        <f>E27+F27-1</f>
        <v/>
      </c>
      <c r="H27" s="28">
        <f>IF(E27="","",$C$2+(E27-1)*7)</f>
        <v/>
      </c>
      <c r="I27" s="28">
        <f>IF(G27="","",$C$2+(G27-1)*7+5)</f>
        <v/>
      </c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</row>
    <row r="28">
      <c r="A28" s="10" t="inlineStr">
        <is>
          <t>4.4</t>
        </is>
      </c>
      <c r="B28" s="11" t="inlineStr">
        <is>
          <t xml:space="preserve">   Firmware baliza zonal + receptor simulado</t>
        </is>
      </c>
      <c r="C28" s="10" t="inlineStr">
        <is>
          <t>Fernando Muñoz</t>
        </is>
      </c>
      <c r="D28" s="10" t="inlineStr">
        <is>
          <t>Tarea</t>
        </is>
      </c>
      <c r="E28" s="12" t="n">
        <v>10</v>
      </c>
      <c r="F28" s="12" t="n">
        <v>3</v>
      </c>
      <c r="G28" s="10">
        <f>E28+F28-1</f>
        <v/>
      </c>
      <c r="H28" s="28">
        <f>IF(E28="","",$C$2+(E28-1)*7)</f>
        <v/>
      </c>
      <c r="I28" s="28">
        <f>IF(G28="","",$C$2+(G28-1)*7+5)</f>
        <v/>
      </c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</row>
    <row r="29">
      <c r="A29" s="10" t="inlineStr">
        <is>
          <t>4.5</t>
        </is>
      </c>
      <c r="B29" s="11" t="inlineStr">
        <is>
          <t xml:space="preserve">   Dashboard web (React.js)</t>
        </is>
      </c>
      <c r="C29" s="10" t="inlineStr">
        <is>
          <t>Benjamín Cáceres</t>
        </is>
      </c>
      <c r="D29" s="10" t="inlineStr">
        <is>
          <t>Tarea</t>
        </is>
      </c>
      <c r="E29" s="12" t="n">
        <v>10</v>
      </c>
      <c r="F29" s="12" t="n">
        <v>4</v>
      </c>
      <c r="G29" s="10">
        <f>E29+F29-1</f>
        <v/>
      </c>
      <c r="H29" s="28">
        <f>IF(E29="","",$C$2+(E29-1)*7)</f>
        <v/>
      </c>
      <c r="I29" s="28">
        <f>IF(G29="","",$C$2+(G29-1)*7+5)</f>
        <v/>
      </c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</row>
    <row r="30">
      <c r="A30" s="10" t="inlineStr">
        <is>
          <t>4.6</t>
        </is>
      </c>
      <c r="B30" s="11" t="inlineStr">
        <is>
          <t xml:space="preserve">   Agente Edge (RTSP + inferencia)</t>
        </is>
      </c>
      <c r="C30" s="10" t="inlineStr">
        <is>
          <t>Iahn Vera</t>
        </is>
      </c>
      <c r="D30" s="10" t="inlineStr">
        <is>
          <t>Tarea</t>
        </is>
      </c>
      <c r="E30" s="12" t="n">
        <v>11</v>
      </c>
      <c r="F30" s="12" t="n">
        <v>2</v>
      </c>
      <c r="G30" s="10">
        <f>E30+F30-1</f>
        <v/>
      </c>
      <c r="H30" s="28">
        <f>IF(E30="","",$C$2+(E30-1)*7)</f>
        <v/>
      </c>
      <c r="I30" s="28">
        <f>IF(G30="","",$C$2+(G30-1)*7+5)</f>
        <v/>
      </c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</row>
    <row r="31">
      <c r="A31" s="10" t="inlineStr">
        <is>
          <t>4.7</t>
        </is>
      </c>
      <c r="B31" s="11" t="inlineStr">
        <is>
          <t xml:space="preserve">   Alertas remotas (SMS / correo)</t>
        </is>
      </c>
      <c r="C31" s="10" t="inlineStr">
        <is>
          <t>Benjamín Cáceres</t>
        </is>
      </c>
      <c r="D31" s="10" t="inlineStr">
        <is>
          <t>Tarea</t>
        </is>
      </c>
      <c r="E31" s="12" t="n">
        <v>12</v>
      </c>
      <c r="F31" s="12" t="n">
        <v>2</v>
      </c>
      <c r="G31" s="10">
        <f>E31+F31-1</f>
        <v/>
      </c>
      <c r="H31" s="28">
        <f>IF(E31="","",$C$2+(E31-1)*7)</f>
        <v/>
      </c>
      <c r="I31" s="28">
        <f>IF(G31="","",$C$2+(G31-1)*7+5)</f>
        <v/>
      </c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</row>
    <row r="32">
      <c r="A32" s="10" t="inlineStr">
        <is>
          <t>4.8</t>
        </is>
      </c>
      <c r="B32" s="11" t="inlineStr">
        <is>
          <t xml:space="preserve">   Reportes PDF / Excel</t>
        </is>
      </c>
      <c r="C32" s="10" t="inlineStr">
        <is>
          <t>Joaquín Armijo</t>
        </is>
      </c>
      <c r="D32" s="10" t="inlineStr">
        <is>
          <t>Tarea</t>
        </is>
      </c>
      <c r="E32" s="12" t="n">
        <v>13</v>
      </c>
      <c r="F32" s="12" t="n">
        <v>1</v>
      </c>
      <c r="G32" s="10">
        <f>E32+F32-1</f>
        <v/>
      </c>
      <c r="H32" s="28">
        <f>IF(E32="","",$C$2+(E32-1)*7)</f>
        <v/>
      </c>
      <c r="I32" s="28">
        <f>IF(G32="","",$C$2+(G32-1)*7+5)</f>
        <v/>
      </c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</row>
    <row r="33">
      <c r="A33" s="10" t="inlineStr">
        <is>
          <t>4.9</t>
        </is>
      </c>
      <c r="B33" s="11" t="inlineStr">
        <is>
          <t xml:space="preserve">   Pruebas unitarias por componente</t>
        </is>
      </c>
      <c r="C33" s="10" t="inlineStr">
        <is>
          <t>Equipo</t>
        </is>
      </c>
      <c r="D33" s="10" t="inlineStr">
        <is>
          <t>Tarea</t>
        </is>
      </c>
      <c r="E33" s="12" t="n">
        <v>10</v>
      </c>
      <c r="F33" s="12" t="n">
        <v>4</v>
      </c>
      <c r="G33" s="10">
        <f>E33+F33-1</f>
        <v/>
      </c>
      <c r="H33" s="28">
        <f>IF(E33="","",$C$2+(E33-1)*7)</f>
        <v/>
      </c>
      <c r="I33" s="28">
        <f>IF(G33="","",$C$2+(G33-1)*7+5)</f>
        <v/>
      </c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</row>
    <row r="34">
      <c r="A34" s="10" t="inlineStr">
        <is>
          <t>4.10</t>
        </is>
      </c>
      <c r="B34" s="11" t="inlineStr">
        <is>
          <t xml:space="preserve">   Dockerfiles por servicio (api, dashboard, edge)</t>
        </is>
      </c>
      <c r="C34" s="10" t="inlineStr">
        <is>
          <t>Equipo</t>
        </is>
      </c>
      <c r="D34" s="10" t="inlineStr">
        <is>
          <t>Tarea</t>
        </is>
      </c>
      <c r="E34" s="12" t="n">
        <v>10</v>
      </c>
      <c r="F34" s="12" t="n">
        <v>3</v>
      </c>
      <c r="G34" s="10">
        <f>E34+F34-1</f>
        <v/>
      </c>
      <c r="H34" s="28">
        <f>IF(E34="","",$C$2+(E34-1)*7)</f>
        <v/>
      </c>
      <c r="I34" s="28">
        <f>IF(G34="","",$C$2+(G34-1)*7+5)</f>
        <v/>
      </c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</row>
    <row r="35">
      <c r="A35" s="10" t="inlineStr">
        <is>
          <t>4.11</t>
        </is>
      </c>
      <c r="B35" s="11" t="inlineStr">
        <is>
          <t xml:space="preserve">   docker-compose, .env y simuladores (RTSP, baliza)</t>
        </is>
      </c>
      <c r="C35" s="10" t="inlineStr">
        <is>
          <t>Joaquín Armijo</t>
        </is>
      </c>
      <c r="D35" s="10" t="inlineStr">
        <is>
          <t>Tarea</t>
        </is>
      </c>
      <c r="E35" s="12" t="n">
        <v>11</v>
      </c>
      <c r="F35" s="12" t="n">
        <v>3</v>
      </c>
      <c r="G35" s="10">
        <f>E35+F35-1</f>
        <v/>
      </c>
      <c r="H35" s="28">
        <f>IF(E35="","",$C$2+(E35-1)*7)</f>
        <v/>
      </c>
      <c r="I35" s="28">
        <f>IF(G35="","",$C$2+(G35-1)*7+5)</f>
        <v/>
      </c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</row>
    <row r="36">
      <c r="A36" s="10" t="inlineStr">
        <is>
          <t>◆</t>
        </is>
      </c>
      <c r="B36" s="14" t="inlineStr">
        <is>
          <t xml:space="preserve">   Hito · Entrega de avance (Semana 10)</t>
        </is>
      </c>
      <c r="C36" s="10" t="inlineStr">
        <is>
          <t>Joaquín Armijo</t>
        </is>
      </c>
      <c r="D36" s="10" t="inlineStr">
        <is>
          <t>Hito</t>
        </is>
      </c>
      <c r="E36" s="12" t="n">
        <v>10</v>
      </c>
      <c r="F36" s="10" t="n">
        <v>0</v>
      </c>
      <c r="G36" s="10">
        <f>E36</f>
        <v/>
      </c>
      <c r="H36" s="28">
        <f>IF(E36="","",$C$2+(E36-1)*7)</f>
        <v/>
      </c>
      <c r="I36" s="28">
        <f>IF(G36="","",$C$2+(G36-1)*7+5)</f>
        <v/>
      </c>
      <c r="J36" s="15">
        <f>IF(J$4=$E36,"◆","")</f>
        <v/>
      </c>
      <c r="K36" s="15">
        <f>IF(K$4=$E36,"◆","")</f>
        <v/>
      </c>
      <c r="L36" s="15">
        <f>IF(L$4=$E36,"◆","")</f>
        <v/>
      </c>
      <c r="M36" s="15">
        <f>IF(M$4=$E36,"◆","")</f>
        <v/>
      </c>
      <c r="N36" s="15">
        <f>IF(N$4=$E36,"◆","")</f>
        <v/>
      </c>
      <c r="O36" s="15">
        <f>IF(O$4=$E36,"◆","")</f>
        <v/>
      </c>
      <c r="P36" s="15">
        <f>IF(P$4=$E36,"◆","")</f>
        <v/>
      </c>
      <c r="Q36" s="15">
        <f>IF(Q$4=$E36,"◆","")</f>
        <v/>
      </c>
      <c r="R36" s="15">
        <f>IF(R$4=$E36,"◆","")</f>
        <v/>
      </c>
      <c r="S36" s="15">
        <f>IF(S$4=$E36,"◆","")</f>
        <v/>
      </c>
      <c r="T36" s="15">
        <f>IF(T$4=$E36,"◆","")</f>
        <v/>
      </c>
      <c r="U36" s="15">
        <f>IF(U$4=$E36,"◆","")</f>
        <v/>
      </c>
      <c r="V36" s="15">
        <f>IF(V$4=$E36,"◆","")</f>
        <v/>
      </c>
      <c r="W36" s="15">
        <f>IF(W$4=$E36,"◆","")</f>
        <v/>
      </c>
      <c r="X36" s="15">
        <f>IF(X$4=$E36,"◆","")</f>
        <v/>
      </c>
      <c r="Y36" s="15">
        <f>IF(Y$4=$E36,"◆","")</f>
        <v/>
      </c>
      <c r="Z36" s="15">
        <f>IF(Z$4=$E36,"◆","")</f>
        <v/>
      </c>
      <c r="AA36" s="15">
        <f>IF(AA$4=$E36,"◆","")</f>
        <v/>
      </c>
    </row>
    <row r="37">
      <c r="A37" s="7" t="inlineStr">
        <is>
          <t>5</t>
        </is>
      </c>
      <c r="B37" s="8" t="inlineStr">
        <is>
          <t>Fase 5 · Integración y pruebas</t>
        </is>
      </c>
      <c r="C37" s="7" t="inlineStr">
        <is>
          <t>Fernando Muñoz</t>
        </is>
      </c>
      <c r="D37" s="7" t="inlineStr">
        <is>
          <t>Fase</t>
        </is>
      </c>
      <c r="E37" s="7">
        <f>MIN(E38:E40)</f>
        <v/>
      </c>
      <c r="F37" s="7">
        <f>G37-E37+1</f>
        <v/>
      </c>
      <c r="G37" s="7">
        <f>MAX(G38:G40)</f>
        <v/>
      </c>
      <c r="H37" s="27">
        <f>IF(E37="","",$C$2+(E37-1)*7)</f>
        <v/>
      </c>
      <c r="I37" s="27">
        <f>IF(G37="","",$C$2+(G37-1)*7+5)</f>
        <v/>
      </c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>
      <c r="A38" s="10" t="inlineStr">
        <is>
          <t>5.1</t>
        </is>
      </c>
      <c r="B38" s="11" t="inlineStr">
        <is>
          <t xml:space="preserve">   Integración de componentes</t>
        </is>
      </c>
      <c r="C38" s="10" t="inlineStr">
        <is>
          <t>Equipo</t>
        </is>
      </c>
      <c r="D38" s="10" t="inlineStr">
        <is>
          <t>Tarea</t>
        </is>
      </c>
      <c r="E38" s="12" t="n">
        <v>13</v>
      </c>
      <c r="F38" s="12" t="n">
        <v>1</v>
      </c>
      <c r="G38" s="10">
        <f>E38+F38-1</f>
        <v/>
      </c>
      <c r="H38" s="28">
        <f>IF(E38="","",$C$2+(E38-1)*7)</f>
        <v/>
      </c>
      <c r="I38" s="28">
        <f>IF(G38="","",$C$2+(G38-1)*7+5)</f>
        <v/>
      </c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</row>
    <row r="39">
      <c r="A39" s="10" t="inlineStr">
        <is>
          <t>5.2</t>
        </is>
      </c>
      <c r="B39" s="11" t="inlineStr">
        <is>
          <t xml:space="preserve">   Pruebas de integración y aceptación</t>
        </is>
      </c>
      <c r="C39" s="10" t="inlineStr">
        <is>
          <t>Fernando Muñoz</t>
        </is>
      </c>
      <c r="D39" s="10" t="inlineStr">
        <is>
          <t>Tarea</t>
        </is>
      </c>
      <c r="E39" s="12" t="n">
        <v>14</v>
      </c>
      <c r="F39" s="12" t="n">
        <v>1</v>
      </c>
      <c r="G39" s="10">
        <f>E39+F39-1</f>
        <v/>
      </c>
      <c r="H39" s="28">
        <f>IF(E39="","",$C$2+(E39-1)*7)</f>
        <v/>
      </c>
      <c r="I39" s="28">
        <f>IF(G39="","",$C$2+(G39-1)*7+5)</f>
        <v/>
      </c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</row>
    <row r="40">
      <c r="A40" s="10" t="inlineStr">
        <is>
          <t>5.3</t>
        </is>
      </c>
      <c r="B40" s="11" t="inlineStr">
        <is>
          <t xml:space="preserve">   Corrección de defectos y re-entrenamiento</t>
        </is>
      </c>
      <c r="C40" s="10" t="inlineStr">
        <is>
          <t>Equipo</t>
        </is>
      </c>
      <c r="D40" s="10" t="inlineStr">
        <is>
          <t>Tarea</t>
        </is>
      </c>
      <c r="E40" s="12" t="n">
        <v>14</v>
      </c>
      <c r="F40" s="12" t="n">
        <v>2</v>
      </c>
      <c r="G40" s="10">
        <f>E40+F40-1</f>
        <v/>
      </c>
      <c r="H40" s="28">
        <f>IF(E40="","",$C$2+(E40-1)*7)</f>
        <v/>
      </c>
      <c r="I40" s="28">
        <f>IF(G40="","",$C$2+(G40-1)*7+5)</f>
        <v/>
      </c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</row>
    <row r="41">
      <c r="A41" s="10" t="inlineStr">
        <is>
          <t>◆</t>
        </is>
      </c>
      <c r="B41" s="14" t="inlineStr">
        <is>
          <t xml:space="preserve">   Hito · Informe de pruebas aprobado</t>
        </is>
      </c>
      <c r="C41" s="10" t="inlineStr">
        <is>
          <t>Fernando Muñoz</t>
        </is>
      </c>
      <c r="D41" s="10" t="inlineStr">
        <is>
          <t>Hito</t>
        </is>
      </c>
      <c r="E41" s="12" t="n">
        <v>14</v>
      </c>
      <c r="F41" s="10" t="n">
        <v>0</v>
      </c>
      <c r="G41" s="10">
        <f>E41</f>
        <v/>
      </c>
      <c r="H41" s="28">
        <f>IF(E41="","",$C$2+(E41-1)*7)</f>
        <v/>
      </c>
      <c r="I41" s="28">
        <f>IF(G41="","",$C$2+(G41-1)*7+5)</f>
        <v/>
      </c>
      <c r="J41" s="15">
        <f>IF(J$4=$E41,"◆","")</f>
        <v/>
      </c>
      <c r="K41" s="15">
        <f>IF(K$4=$E41,"◆","")</f>
        <v/>
      </c>
      <c r="L41" s="15">
        <f>IF(L$4=$E41,"◆","")</f>
        <v/>
      </c>
      <c r="M41" s="15">
        <f>IF(M$4=$E41,"◆","")</f>
        <v/>
      </c>
      <c r="N41" s="15">
        <f>IF(N$4=$E41,"◆","")</f>
        <v/>
      </c>
      <c r="O41" s="15">
        <f>IF(O$4=$E41,"◆","")</f>
        <v/>
      </c>
      <c r="P41" s="15">
        <f>IF(P$4=$E41,"◆","")</f>
        <v/>
      </c>
      <c r="Q41" s="15">
        <f>IF(Q$4=$E41,"◆","")</f>
        <v/>
      </c>
      <c r="R41" s="15">
        <f>IF(R$4=$E41,"◆","")</f>
        <v/>
      </c>
      <c r="S41" s="15">
        <f>IF(S$4=$E41,"◆","")</f>
        <v/>
      </c>
      <c r="T41" s="15">
        <f>IF(T$4=$E41,"◆","")</f>
        <v/>
      </c>
      <c r="U41" s="15">
        <f>IF(U$4=$E41,"◆","")</f>
        <v/>
      </c>
      <c r="V41" s="15">
        <f>IF(V$4=$E41,"◆","")</f>
        <v/>
      </c>
      <c r="W41" s="15">
        <f>IF(W$4=$E41,"◆","")</f>
        <v/>
      </c>
      <c r="X41" s="15">
        <f>IF(X$4=$E41,"◆","")</f>
        <v/>
      </c>
      <c r="Y41" s="15">
        <f>IF(Y$4=$E41,"◆","")</f>
        <v/>
      </c>
      <c r="Z41" s="15">
        <f>IF(Z$4=$E41,"◆","")</f>
        <v/>
      </c>
      <c r="AA41" s="15">
        <f>IF(AA$4=$E41,"◆","")</f>
        <v/>
      </c>
    </row>
    <row r="42">
      <c r="A42" s="7" t="inlineStr">
        <is>
          <t>6</t>
        </is>
      </c>
      <c r="B42" s="8" t="inlineStr">
        <is>
          <t>Fase 6 · Implantación y cierre</t>
        </is>
      </c>
      <c r="C42" s="7" t="inlineStr">
        <is>
          <t>Iahn Vera</t>
        </is>
      </c>
      <c r="D42" s="7" t="inlineStr">
        <is>
          <t>Fase</t>
        </is>
      </c>
      <c r="E42" s="7">
        <f>MIN(E43:E44)</f>
        <v/>
      </c>
      <c r="F42" s="7">
        <f>G42-E42+1</f>
        <v/>
      </c>
      <c r="G42" s="7">
        <f>MAX(G43:G44)</f>
        <v/>
      </c>
      <c r="H42" s="27">
        <f>IF(E42="","",$C$2+(E42-1)*7)</f>
        <v/>
      </c>
      <c r="I42" s="27">
        <f>IF(G42="","",$C$2+(G42-1)*7+5)</f>
        <v/>
      </c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>
      <c r="A43" s="10" t="inlineStr">
        <is>
          <t>6.1</t>
        </is>
      </c>
      <c r="B43" s="11" t="inlineStr">
        <is>
          <t xml:space="preserve">   Despliegue con Docker Compose (demostración)</t>
        </is>
      </c>
      <c r="C43" s="10" t="inlineStr">
        <is>
          <t>Joaquín Armijo</t>
        </is>
      </c>
      <c r="D43" s="10" t="inlineStr">
        <is>
          <t>Tarea</t>
        </is>
      </c>
      <c r="E43" s="12" t="n">
        <v>15</v>
      </c>
      <c r="F43" s="12" t="n">
        <v>1</v>
      </c>
      <c r="G43" s="10">
        <f>E43+F43-1</f>
        <v/>
      </c>
      <c r="H43" s="28">
        <f>IF(E43="","",$C$2+(E43-1)*7)</f>
        <v/>
      </c>
      <c r="I43" s="28">
        <f>IF(G43="","",$C$2+(G43-1)*7+5)</f>
        <v/>
      </c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</row>
    <row r="44">
      <c r="A44" s="10" t="inlineStr">
        <is>
          <t>6.2</t>
        </is>
      </c>
      <c r="B44" s="11" t="inlineStr">
        <is>
          <t xml:space="preserve">   Manual técnico / despliegue e informe final</t>
        </is>
      </c>
      <c r="C44" s="10" t="inlineStr">
        <is>
          <t>Iahn Vera</t>
        </is>
      </c>
      <c r="D44" s="10" t="inlineStr">
        <is>
          <t>Tarea</t>
        </is>
      </c>
      <c r="E44" s="12" t="n">
        <v>14</v>
      </c>
      <c r="F44" s="12" t="n">
        <v>2</v>
      </c>
      <c r="G44" s="10">
        <f>E44+F44-1</f>
        <v/>
      </c>
      <c r="H44" s="28">
        <f>IF(E44="","",$C$2+(E44-1)*7)</f>
        <v/>
      </c>
      <c r="I44" s="28">
        <f>IF(G44="","",$C$2+(G44-1)*7+5)</f>
        <v/>
      </c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</row>
    <row r="45">
      <c r="A45" s="10" t="inlineStr">
        <is>
          <t>◆</t>
        </is>
      </c>
      <c r="B45" s="14" t="inlineStr">
        <is>
          <t xml:space="preserve">   Hito · Entrega final (Sumativa Fase 2)</t>
        </is>
      </c>
      <c r="C45" s="10" t="inlineStr">
        <is>
          <t>Iahn Vera</t>
        </is>
      </c>
      <c r="D45" s="10" t="inlineStr">
        <is>
          <t>Hito</t>
        </is>
      </c>
      <c r="E45" s="12" t="n">
        <v>15</v>
      </c>
      <c r="F45" s="10" t="n">
        <v>0</v>
      </c>
      <c r="G45" s="10">
        <f>E45</f>
        <v/>
      </c>
      <c r="H45" s="28">
        <f>IF(E45="","",$C$2+(E45-1)*7)</f>
        <v/>
      </c>
      <c r="I45" s="28">
        <f>IF(G45="","",$C$2+(G45-1)*7+5)</f>
        <v/>
      </c>
      <c r="J45" s="15">
        <f>IF(J$4=$E45,"◆","")</f>
        <v/>
      </c>
      <c r="K45" s="15">
        <f>IF(K$4=$E45,"◆","")</f>
        <v/>
      </c>
      <c r="L45" s="15">
        <f>IF(L$4=$E45,"◆","")</f>
        <v/>
      </c>
      <c r="M45" s="15">
        <f>IF(M$4=$E45,"◆","")</f>
        <v/>
      </c>
      <c r="N45" s="15">
        <f>IF(N$4=$E45,"◆","")</f>
        <v/>
      </c>
      <c r="O45" s="15">
        <f>IF(O$4=$E45,"◆","")</f>
        <v/>
      </c>
      <c r="P45" s="15">
        <f>IF(P$4=$E45,"◆","")</f>
        <v/>
      </c>
      <c r="Q45" s="15">
        <f>IF(Q$4=$E45,"◆","")</f>
        <v/>
      </c>
      <c r="R45" s="15">
        <f>IF(R$4=$E45,"◆","")</f>
        <v/>
      </c>
      <c r="S45" s="15">
        <f>IF(S$4=$E45,"◆","")</f>
        <v/>
      </c>
      <c r="T45" s="15">
        <f>IF(T$4=$E45,"◆","")</f>
        <v/>
      </c>
      <c r="U45" s="15">
        <f>IF(U$4=$E45,"◆","")</f>
        <v/>
      </c>
      <c r="V45" s="15">
        <f>IF(V$4=$E45,"◆","")</f>
        <v/>
      </c>
      <c r="W45" s="15">
        <f>IF(W$4=$E45,"◆","")</f>
        <v/>
      </c>
      <c r="X45" s="15">
        <f>IF(X$4=$E45,"◆","")</f>
        <v/>
      </c>
      <c r="Y45" s="15">
        <f>IF(Y$4=$E45,"◆","")</f>
        <v/>
      </c>
      <c r="Z45" s="15">
        <f>IF(Z$4=$E45,"◆","")</f>
        <v/>
      </c>
      <c r="AA45" s="15">
        <f>IF(AA$4=$E45,"◆","")</f>
        <v/>
      </c>
    </row>
    <row r="46">
      <c r="A46" s="7" t="inlineStr">
        <is>
          <t>7</t>
        </is>
      </c>
      <c r="B46" s="8" t="inlineStr">
        <is>
          <t>Fase 7 · Presentación (Fase 3)</t>
        </is>
      </c>
      <c r="C46" s="7" t="inlineStr">
        <is>
          <t>Iahn Vera</t>
        </is>
      </c>
      <c r="D46" s="7" t="inlineStr">
        <is>
          <t>Fase</t>
        </is>
      </c>
      <c r="E46" s="7">
        <f>MIN(E47:E48)</f>
        <v/>
      </c>
      <c r="F46" s="7">
        <f>G46-E46+1</f>
        <v/>
      </c>
      <c r="G46" s="7">
        <f>MAX(G47:G48)</f>
        <v/>
      </c>
      <c r="H46" s="27">
        <f>IF(E46="","",$C$2+(E46-1)*7)</f>
        <v/>
      </c>
      <c r="I46" s="27">
        <f>IF(G46="","",$C$2+(G46-1)*7+5)</f>
        <v/>
      </c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>
      <c r="A47" s="10" t="inlineStr">
        <is>
          <t>7.1</t>
        </is>
      </c>
      <c r="B47" s="11" t="inlineStr">
        <is>
          <t xml:space="preserve">   Retroalimentación y ajustes finales</t>
        </is>
      </c>
      <c r="C47" s="10" t="inlineStr">
        <is>
          <t>Equipo</t>
        </is>
      </c>
      <c r="D47" s="10" t="inlineStr">
        <is>
          <t>Tarea</t>
        </is>
      </c>
      <c r="E47" s="12" t="n">
        <v>16</v>
      </c>
      <c r="F47" s="12" t="n">
        <v>1</v>
      </c>
      <c r="G47" s="10">
        <f>E47+F47-1</f>
        <v/>
      </c>
      <c r="H47" s="28">
        <f>IF(E47="","",$C$2+(E47-1)*7)</f>
        <v/>
      </c>
      <c r="I47" s="28">
        <f>IF(G47="","",$C$2+(G47-1)*7+5)</f>
        <v/>
      </c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</row>
    <row r="48">
      <c r="A48" s="10" t="inlineStr">
        <is>
          <t>7.2</t>
        </is>
      </c>
      <c r="B48" s="11" t="inlineStr">
        <is>
          <t xml:space="preserve">   Preparación de la defensa</t>
        </is>
      </c>
      <c r="C48" s="10" t="inlineStr">
        <is>
          <t>Equipo</t>
        </is>
      </c>
      <c r="D48" s="10" t="inlineStr">
        <is>
          <t>Tarea</t>
        </is>
      </c>
      <c r="E48" s="12" t="n">
        <v>16</v>
      </c>
      <c r="F48" s="12" t="n">
        <v>2</v>
      </c>
      <c r="G48" s="10">
        <f>E48+F48-1</f>
        <v/>
      </c>
      <c r="H48" s="28">
        <f>IF(E48="","",$C$2+(E48-1)*7)</f>
        <v/>
      </c>
      <c r="I48" s="28">
        <f>IF(G48="","",$C$2+(G48-1)*7+5)</f>
        <v/>
      </c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</row>
    <row r="49">
      <c r="A49" s="10" t="inlineStr">
        <is>
          <t>◆</t>
        </is>
      </c>
      <c r="B49" s="14" t="inlineStr">
        <is>
          <t xml:space="preserve">   Hito · Defensa final</t>
        </is>
      </c>
      <c r="C49" s="10" t="inlineStr">
        <is>
          <t>Iahn Vera</t>
        </is>
      </c>
      <c r="D49" s="10" t="inlineStr">
        <is>
          <t>Hito</t>
        </is>
      </c>
      <c r="E49" s="12" t="n">
        <v>17</v>
      </c>
      <c r="F49" s="10" t="n">
        <v>0</v>
      </c>
      <c r="G49" s="10">
        <f>E49</f>
        <v/>
      </c>
      <c r="H49" s="28">
        <f>IF(E49="","",$C$2+(E49-1)*7)</f>
        <v/>
      </c>
      <c r="I49" s="28">
        <f>IF(G49="","",$C$2+(G49-1)*7+5)</f>
        <v/>
      </c>
      <c r="J49" s="15">
        <f>IF(J$4=$E49,"◆","")</f>
        <v/>
      </c>
      <c r="K49" s="15">
        <f>IF(K$4=$E49,"◆","")</f>
        <v/>
      </c>
      <c r="L49" s="15">
        <f>IF(L$4=$E49,"◆","")</f>
        <v/>
      </c>
      <c r="M49" s="15">
        <f>IF(M$4=$E49,"◆","")</f>
        <v/>
      </c>
      <c r="N49" s="15">
        <f>IF(N$4=$E49,"◆","")</f>
        <v/>
      </c>
      <c r="O49" s="15">
        <f>IF(O$4=$E49,"◆","")</f>
        <v/>
      </c>
      <c r="P49" s="15">
        <f>IF(P$4=$E49,"◆","")</f>
        <v/>
      </c>
      <c r="Q49" s="15">
        <f>IF(Q$4=$E49,"◆","")</f>
        <v/>
      </c>
      <c r="R49" s="15">
        <f>IF(R$4=$E49,"◆","")</f>
        <v/>
      </c>
      <c r="S49" s="15">
        <f>IF(S$4=$E49,"◆","")</f>
        <v/>
      </c>
      <c r="T49" s="15">
        <f>IF(T$4=$E49,"◆","")</f>
        <v/>
      </c>
      <c r="U49" s="15">
        <f>IF(U$4=$E49,"◆","")</f>
        <v/>
      </c>
      <c r="V49" s="15">
        <f>IF(V$4=$E49,"◆","")</f>
        <v/>
      </c>
      <c r="W49" s="15">
        <f>IF(W$4=$E49,"◆","")</f>
        <v/>
      </c>
      <c r="X49" s="15">
        <f>IF(X$4=$E49,"◆","")</f>
        <v/>
      </c>
      <c r="Y49" s="15">
        <f>IF(Y$4=$E49,"◆","")</f>
        <v/>
      </c>
      <c r="Z49" s="15">
        <f>IF(Z$4=$E49,"◆","")</f>
        <v/>
      </c>
      <c r="AA49" s="15">
        <f>IF(AA$4=$E49,"◆","")</f>
        <v/>
      </c>
    </row>
    <row r="51">
      <c r="B51" s="16" t="inlineStr">
        <is>
          <t>Leyenda: barra oscura = duración de la fase · barra de color = tarea · ◆ rojo = hito / puerta de fase · columna amarilla = semana actual.</t>
        </is>
      </c>
    </row>
    <row r="52">
      <c r="B52" s="16" t="inlineStr">
        <is>
          <t>Celdas en azul (inicio, duración y fecha de inicio del semestre) son editables; el resto se recalcula.</t>
        </is>
      </c>
    </row>
    <row r="53">
      <c r="B53" s="16" t="inlineStr">
        <is>
          <t>Modelo en cascada con solapamiento controlado: cada fase cierra con un entregable aprobado (puerta de fase). Una tarea empieza antes del cierre de su fase solo si no depende del entregable pendiente: S9, dataset y BD (el ER se cierra en S8); S13, integración de componentes ya probados; S14-15, manual e informe final en paralelo con la corrección de defectos.</t>
        </is>
      </c>
    </row>
    <row r="54">
      <c r="B54" s="16" t="inlineStr">
        <is>
          <t>Fuente de fechas: 2026.02_Cronograma_Capstone_PTY4614.xlsx (cronograma oficial de la asignatura).</t>
        </is>
      </c>
    </row>
  </sheetData>
  <conditionalFormatting sqref="J6:AA6">
    <cfRule type="expression" priority="1" dxfId="0" stopIfTrue="1">
      <formula>AND(J$4&gt;=$E6,J$4&lt;=$G6)</formula>
    </cfRule>
  </conditionalFormatting>
  <conditionalFormatting sqref="J6:AA10">
    <cfRule type="expression" priority="2" dxfId="1" stopIfTrue="1">
      <formula>AND($D6&lt;&gt;"Hito",J$4&gt;=$E6,J$4&lt;=$G6)</formula>
    </cfRule>
  </conditionalFormatting>
  <conditionalFormatting sqref="J11:AA11">
    <cfRule type="expression" priority="3" dxfId="0" stopIfTrue="1">
      <formula>AND(J$4&gt;=$E11,J$4&lt;=$G11)</formula>
    </cfRule>
  </conditionalFormatting>
  <conditionalFormatting sqref="J11:AA15">
    <cfRule type="expression" priority="4" dxfId="2" stopIfTrue="1">
      <formula>AND($D11&lt;&gt;"Hito",J$4&gt;=$E11,J$4&lt;=$G11)</formula>
    </cfRule>
  </conditionalFormatting>
  <conditionalFormatting sqref="J16:AA16">
    <cfRule type="expression" priority="5" dxfId="0" stopIfTrue="1">
      <formula>AND(J$4&gt;=$E16,J$4&lt;=$G16)</formula>
    </cfRule>
  </conditionalFormatting>
  <conditionalFormatting sqref="J16:AA23">
    <cfRule type="expression" priority="6" dxfId="3" stopIfTrue="1">
      <formula>AND($D16&lt;&gt;"Hito",J$4&gt;=$E16,J$4&lt;=$G16)</formula>
    </cfRule>
  </conditionalFormatting>
  <conditionalFormatting sqref="J24:AA24">
    <cfRule type="expression" priority="7" dxfId="0" stopIfTrue="1">
      <formula>AND(J$4&gt;=$E24,J$4&lt;=$G24)</formula>
    </cfRule>
  </conditionalFormatting>
  <conditionalFormatting sqref="J24:AA36">
    <cfRule type="expression" priority="8" dxfId="4" stopIfTrue="1">
      <formula>AND($D24&lt;&gt;"Hito",J$4&gt;=$E24,J$4&lt;=$G24)</formula>
    </cfRule>
  </conditionalFormatting>
  <conditionalFormatting sqref="J37:AA37">
    <cfRule type="expression" priority="9" dxfId="0" stopIfTrue="1">
      <formula>AND(J$4&gt;=$E37,J$4&lt;=$G37)</formula>
    </cfRule>
  </conditionalFormatting>
  <conditionalFormatting sqref="J37:AA41">
    <cfRule type="expression" priority="10" dxfId="5" stopIfTrue="1">
      <formula>AND($D37&lt;&gt;"Hito",J$4&gt;=$E37,J$4&lt;=$G37)</formula>
    </cfRule>
  </conditionalFormatting>
  <conditionalFormatting sqref="J42:AA42">
    <cfRule type="expression" priority="11" dxfId="0" stopIfTrue="1">
      <formula>AND(J$4&gt;=$E42,J$4&lt;=$G42)</formula>
    </cfRule>
  </conditionalFormatting>
  <conditionalFormatting sqref="J42:AA45">
    <cfRule type="expression" priority="12" dxfId="6" stopIfTrue="1">
      <formula>AND($D42&lt;&gt;"Hito",J$4&gt;=$E42,J$4&lt;=$G42)</formula>
    </cfRule>
  </conditionalFormatting>
  <conditionalFormatting sqref="J46:AA46">
    <cfRule type="expression" priority="13" dxfId="0" stopIfTrue="1">
      <formula>AND(J$4&gt;=$E46,J$4&lt;=$G46)</formula>
    </cfRule>
  </conditionalFormatting>
  <conditionalFormatting sqref="J46:AA49">
    <cfRule type="expression" priority="14" dxfId="7" stopIfTrue="1">
      <formula>AND($D46&lt;&gt;"Hito",J$4&gt;=$E46,J$4&lt;=$G46)</formula>
    </cfRule>
  </conditionalFormatting>
  <conditionalFormatting sqref="J6:AA49">
    <cfRule type="expression" priority="15" dxfId="8">
      <formula>J$4=$G$2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62" customWidth="1" min="4" max="4"/>
    <col width="18" customWidth="1" min="5" max="5"/>
    <col width="12" customWidth="1" min="6" max="6"/>
    <col width="36" customWidth="1" min="7" max="7"/>
  </cols>
  <sheetData>
    <row r="1">
      <c r="A1" s="17" t="inlineStr">
        <is>
          <t>Entregables oficiales de la asignatura PTY4614</t>
        </is>
      </c>
    </row>
    <row r="3">
      <c r="A3" s="18" t="inlineStr">
        <is>
          <t>Semana</t>
        </is>
      </c>
      <c r="B3" s="18" t="inlineStr">
        <is>
          <t>Desde</t>
        </is>
      </c>
      <c r="C3" s="18" t="inlineStr">
        <is>
          <t>Hasta</t>
        </is>
      </c>
      <c r="D3" s="18" t="inlineStr">
        <is>
          <t>Entregable</t>
        </is>
      </c>
      <c r="E3" s="18" t="inlineStr">
        <is>
          <t>Tipo</t>
        </is>
      </c>
      <c r="F3" s="18" t="inlineStr">
        <is>
          <t>Evaluación</t>
        </is>
      </c>
      <c r="G3" s="18" t="inlineStr">
        <is>
          <t>Fase del modelo que se evidencia</t>
        </is>
      </c>
    </row>
    <row r="4">
      <c r="A4" s="19" t="n">
        <v>4</v>
      </c>
      <c r="B4" s="29">
        <f>Gantt!$C$2+(A4-1)*7</f>
        <v/>
      </c>
      <c r="C4" s="29">
        <f>Gantt!$C$2+(A4-1)*7+5</f>
        <v/>
      </c>
      <c r="D4" s="21" t="inlineStr">
        <is>
          <t>1.5 Sumativa Fase 1 · Presentación del proyecto</t>
        </is>
      </c>
      <c r="E4" s="21" t="inlineStr">
        <is>
          <t>Equipo</t>
        </is>
      </c>
      <c r="F4" s="21" t="inlineStr">
        <is>
          <t>Sumativa</t>
        </is>
      </c>
      <c r="G4" s="21" t="inlineStr">
        <is>
          <t>1 · Inicio y planificación</t>
        </is>
      </c>
    </row>
    <row r="5">
      <c r="A5" s="22" t="n">
        <v>5</v>
      </c>
      <c r="B5" s="30">
        <f>Gantt!$C$2+(A5-1)*7</f>
        <v/>
      </c>
      <c r="C5" s="30">
        <f>Gantt!$C$2+(A5-1)*7+5</f>
        <v/>
      </c>
      <c r="D5" s="24" t="inlineStr">
        <is>
          <t>2.1 Diario de reflexión Fase 2</t>
        </is>
      </c>
      <c r="E5" s="24" t="inlineStr">
        <is>
          <t>Individual</t>
        </is>
      </c>
      <c r="F5" s="24" t="inlineStr">
        <is>
          <t>—</t>
        </is>
      </c>
      <c r="G5" s="24" t="inlineStr">
        <is>
          <t>2 · Análisis</t>
        </is>
      </c>
    </row>
    <row r="6">
      <c r="A6" s="22" t="n">
        <v>6</v>
      </c>
      <c r="B6" s="30">
        <f>Gantt!$C$2+(A6-1)*7</f>
        <v/>
      </c>
      <c r="C6" s="30">
        <f>Gantt!$C$2+(A6-1)*7+5</f>
        <v/>
      </c>
      <c r="D6" s="24" t="inlineStr">
        <is>
          <t>Actualización de objetivos, metodología y cronograma · 2.4 Guía Fase 2</t>
        </is>
      </c>
      <c r="E6" s="24" t="inlineStr">
        <is>
          <t>Equipo</t>
        </is>
      </c>
      <c r="F6" s="24" t="inlineStr">
        <is>
          <t>—</t>
        </is>
      </c>
      <c r="G6" s="24" t="inlineStr">
        <is>
          <t>2 · Análisis</t>
        </is>
      </c>
    </row>
    <row r="7">
      <c r="A7" s="22" t="n">
        <v>8</v>
      </c>
      <c r="B7" s="30">
        <f>Gantt!$C$2+(A7-1)*7</f>
        <v/>
      </c>
      <c r="C7" s="30">
        <f>Gantt!$C$2+(A7-1)*7+5</f>
        <v/>
      </c>
      <c r="D7" s="24" t="inlineStr">
        <is>
          <t>2.2 Autoevaluación avance Fase 2</t>
        </is>
      </c>
      <c r="E7" s="24" t="inlineStr">
        <is>
          <t>Individual</t>
        </is>
      </c>
      <c r="F7" s="24" t="inlineStr">
        <is>
          <t>—</t>
        </is>
      </c>
      <c r="G7" s="24" t="inlineStr">
        <is>
          <t>3 · Diseño</t>
        </is>
      </c>
    </row>
    <row r="8">
      <c r="A8" s="22" t="n">
        <v>9</v>
      </c>
      <c r="B8" s="30">
        <f>Gantt!$C$2+(A8-1)*7</f>
        <v/>
      </c>
      <c r="C8" s="30">
        <f>Gantt!$C$2+(A8-1)*7+5</f>
        <v/>
      </c>
      <c r="D8" s="24" t="inlineStr">
        <is>
          <t>2.3 Formativa avance Fase 2</t>
        </is>
      </c>
      <c r="E8" s="24" t="inlineStr">
        <is>
          <t>Equipo</t>
        </is>
      </c>
      <c r="F8" s="24" t="inlineStr">
        <is>
          <t>Formativa</t>
        </is>
      </c>
      <c r="G8" s="24" t="inlineStr">
        <is>
          <t>3 · Diseño</t>
        </is>
      </c>
    </row>
    <row r="9">
      <c r="A9" s="19" t="n">
        <v>10</v>
      </c>
      <c r="B9" s="29">
        <f>Gantt!$C$2+(A9-1)*7</f>
        <v/>
      </c>
      <c r="C9" s="29">
        <f>Gantt!$C$2+(A9-1)*7+5</f>
        <v/>
      </c>
      <c r="D9" s="21" t="inlineStr">
        <is>
          <t>Entrega de avance (sin presentación)</t>
        </is>
      </c>
      <c r="E9" s="21" t="inlineStr">
        <is>
          <t>Equipo</t>
        </is>
      </c>
      <c r="F9" s="21" t="inlineStr">
        <is>
          <t>Sumativa</t>
        </is>
      </c>
      <c r="G9" s="21" t="inlineStr">
        <is>
          <t>ERS + diseño + construcción en curso</t>
        </is>
      </c>
    </row>
    <row r="10">
      <c r="A10" s="22" t="n">
        <v>11</v>
      </c>
      <c r="B10" s="30">
        <f>Gantt!$C$2+(A10-1)*7</f>
        <v/>
      </c>
      <c r="C10" s="30">
        <f>Gantt!$C$2+(A10-1)*7+5</f>
        <v/>
      </c>
      <c r="D10" s="24" t="inlineStr">
        <is>
          <t>2.5 Sumativa avance · 2.6 Guía informe final</t>
        </is>
      </c>
      <c r="E10" s="24" t="inlineStr">
        <is>
          <t>Equipo</t>
        </is>
      </c>
      <c r="F10" s="24" t="inlineStr">
        <is>
          <t>—</t>
        </is>
      </c>
      <c r="G10" s="24" t="inlineStr">
        <is>
          <t>4 · Construcción</t>
        </is>
      </c>
    </row>
    <row r="11">
      <c r="A11" s="19" t="n">
        <v>15</v>
      </c>
      <c r="B11" s="29">
        <f>Gantt!$C$2+(A11-1)*7</f>
        <v/>
      </c>
      <c r="C11" s="29">
        <f>Gantt!$C$2+(A11-1)*7+5</f>
        <v/>
      </c>
      <c r="D11" s="21" t="inlineStr">
        <is>
          <t>2.7 Sumativa final Fase 2 · Presentación de desarrollo y resultados</t>
        </is>
      </c>
      <c r="E11" s="21" t="inlineStr">
        <is>
          <t>Equipo</t>
        </is>
      </c>
      <c r="F11" s="21" t="inlineStr">
        <is>
          <t>Sumativa</t>
        </is>
      </c>
      <c r="G11" s="21" t="inlineStr">
        <is>
          <t>5 y 6 · Pruebas e implantación</t>
        </is>
      </c>
    </row>
    <row r="12">
      <c r="A12" s="22" t="n">
        <v>16</v>
      </c>
      <c r="B12" s="30">
        <f>Gantt!$C$2+(A12-1)*7</f>
        <v/>
      </c>
      <c r="C12" s="30">
        <f>Gantt!$C$2+(A12-1)*7+5</f>
        <v/>
      </c>
      <c r="D12" s="24" t="inlineStr">
        <is>
          <t>3.1 Diario de reflexión Fase 3 · 3.3 Presentación proyecto APT</t>
        </is>
      </c>
      <c r="E12" s="24" t="inlineStr">
        <is>
          <t>Individual / Equipo</t>
        </is>
      </c>
      <c r="F12" s="24" t="inlineStr">
        <is>
          <t>—</t>
        </is>
      </c>
      <c r="G12" s="24" t="inlineStr">
        <is>
          <t>7 · Presentación</t>
        </is>
      </c>
    </row>
    <row r="13">
      <c r="A13" s="19" t="n">
        <v>17</v>
      </c>
      <c r="B13" s="29">
        <f>Gantt!$C$2+(A13-1)*7</f>
        <v/>
      </c>
      <c r="C13" s="29">
        <f>Gantt!$C$2+(A13-1)*7+5</f>
        <v/>
      </c>
      <c r="D13" s="21" t="inlineStr">
        <is>
          <t>3.4 Sumativa Fase 3 · Defensa final (semanas 17 y 18)</t>
        </is>
      </c>
      <c r="E13" s="21" t="inlineStr">
        <is>
          <t>Equipo</t>
        </is>
      </c>
      <c r="F13" s="21" t="inlineStr">
        <is>
          <t>Sumativa</t>
        </is>
      </c>
      <c r="G13" s="21" t="inlineStr">
        <is>
          <t>7 · Presentación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2026-09-23T04:35:40Z</dcterms:created>
  <dcterms:modified xmlns:dcterms="http://purl.org/dc/terms/" xmlns:xsi="http://www.w3.org/2001/XMLSchema-instance" xsi:type="dcterms:W3CDTF">2026-09-24T13:20:23Z</dcterms:modified>
</cp:coreProperties>
</file>