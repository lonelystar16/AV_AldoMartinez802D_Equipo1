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NSAYO_EQUIPO" sheetId="1" state="visible" r:id="rId1"/>
    <sheet xmlns:r="http://schemas.openxmlformats.org/officeDocument/2006/relationships" name="EVALUACION1" sheetId="2" state="visible" r:id="rId2"/>
    <sheet xmlns:r="http://schemas.openxmlformats.org/officeDocument/2006/relationships" name="RUBRICA" sheetId="3" state="visible" r:id="rId3"/>
    <sheet xmlns:r="http://schemas.openxmlformats.org/officeDocument/2006/relationships" name="ESCALA_IEP" sheetId="4" state="hidden" r:id="rId4"/>
    <sheet xmlns:r="http://schemas.openxmlformats.org/officeDocument/2006/relationships" name="ESCALA_PRESENTACION" sheetId="5" state="hidden" r:id="rId5"/>
    <sheet xmlns:r="http://schemas.openxmlformats.org/officeDocument/2006/relationships" name="ESCALA_TRAB_EQUIP" sheetId="6" state="hidden" r:id="rId6"/>
    <sheet xmlns:r="http://schemas.openxmlformats.org/officeDocument/2006/relationships" name="RELEVANCIA-PUNTAJE" sheetId="7" state="hidden" r:id="rId7"/>
  </sheets>
  <definedNames>
    <definedName name="RE">'RELEVANCIA-PUNTAJE'!$A$4</definedName>
    <definedName name="MR_NL">'RELEVANCIA-PUNTAJE'!$E$3</definedName>
    <definedName name="PR_NL">'RELEVANCIA-PUNTAJE'!$E$5</definedName>
    <definedName name="PR">'RELEVANCIA-PUNTAJE'!$A$5</definedName>
    <definedName name="MR_ML">'RELEVANCIA-PUNTAJE'!$D$3</definedName>
    <definedName name="PR_ML">'RELEVANCIA-PUNTAJE'!$D$5</definedName>
    <definedName name="MR">'RELEVANCIA-PUNTAJE'!$A$3</definedName>
    <definedName name="TL">'RELEVANCIA-PUNTAJE'!$B$2</definedName>
    <definedName name="CL">'RELEVANCIA-PUNTAJE'!$B$2</definedName>
    <definedName name="MR_L">'RELEVANCIA-PUNTAJE'!$C$3</definedName>
    <definedName name="PR_TL">'RELEVANCIA-PUNTAJE'!$B$5</definedName>
    <definedName name="RE_NL">'RELEVANCIA-PUNTAJE'!$E$4</definedName>
    <definedName name="RE_TL">'RELEVANCIA-PUNTAJE'!$B$4</definedName>
    <definedName name="L">'RELEVANCIA-PUNTAJE'!$C$2</definedName>
    <definedName name="NL">'RELEVANCIA-PUNTAJE'!$E$2</definedName>
    <definedName name="RE_ML">'RELEVANCIA-PUNTAJE'!$D$4</definedName>
    <definedName name="MR_CL">'RELEVANCIA-PUNTAJE'!$B$3</definedName>
    <definedName name="MR_TL">'RELEVANCIA-PUNTAJE'!$B$3</definedName>
    <definedName name="ML">'RELEVANCIA-PUNTAJE'!$D$2</definedName>
  </definedNames>
  <calcPr calcId="124519" fullCalcOnLoad="1"/>
</workbook>
</file>

<file path=xl/styles.xml><?xml version="1.0" encoding="utf-8"?>
<styleSheet xmlns="http://schemas.openxmlformats.org/spreadsheetml/2006/main">
  <numFmts count="1">
    <numFmt numFmtId="164" formatCode="0.0"/>
  </numFmts>
  <fonts count="23">
    <font>
      <name val="Calibri"/>
      <color rgb="FF000000"/>
      <sz val="11"/>
      <scheme val="minor"/>
    </font>
    <font>
      <name val="Calibri"/>
      <color theme="1"/>
      <scheme val="minor"/>
    </font>
    <font>
      <name val="Calibri"/>
      <color rgb="FF000000"/>
      <sz val="11"/>
    </font>
    <font>
      <name val="Calibri"/>
      <b val="1"/>
      <color rgb="FFFFFFFF"/>
      <sz val="10"/>
    </font>
    <font>
      <name val="Calibri"/>
      <b val="1"/>
      <color rgb="FF000000"/>
      <sz val="11"/>
    </font>
    <font/>
    <font>
      <name val="Calibri"/>
      <b val="1"/>
      <color rgb="FFFFFFFF"/>
      <sz val="11"/>
    </font>
    <font>
      <name val="Calibri"/>
      <color rgb="FF000000"/>
      <sz val="10"/>
    </font>
    <font>
      <name val="Calibri"/>
      <b val="1"/>
      <color rgb="FF3B3838"/>
      <sz val="10"/>
    </font>
    <font>
      <name val="Calibri"/>
      <color rgb="FF000000"/>
      <sz val="20"/>
    </font>
    <font>
      <name val="Calibri"/>
      <b val="1"/>
      <color rgb="FF000000"/>
      <sz val="14"/>
    </font>
    <font>
      <name val="Calibri"/>
      <b val="1"/>
      <color rgb="FF000000"/>
      <sz val="10"/>
    </font>
    <font>
      <name val="Calibri"/>
      <color rgb="FF000000"/>
      <sz val="9"/>
    </font>
    <font>
      <name val="Calibri"/>
      <color rgb="FF000000"/>
      <sz val="14"/>
    </font>
    <font>
      <name val="Calibri"/>
      <color rgb="FF000000"/>
      <sz val="16"/>
    </font>
    <font>
      <name val="Calibri"/>
      <b val="1"/>
      <color rgb="0016232E"/>
      <sz val="16"/>
    </font>
    <font>
      <name val="Calibri"/>
      <color rgb="005C6B77"/>
      <sz val="10"/>
    </font>
    <font>
      <name val="Calibri"/>
      <b val="1"/>
      <color rgb="00C2410C"/>
      <sz val="10.5"/>
    </font>
    <font>
      <b val="1"/>
      <color rgb="0016232E"/>
      <sz val="12"/>
    </font>
    <font>
      <name val="Calibri"/>
      <b val="1"/>
      <color rgb="00FFFFFF"/>
      <sz val="10"/>
    </font>
    <font>
      <name val="Calibri"/>
      <sz val="10"/>
    </font>
    <font>
      <name val="Calibri"/>
      <b val="1"/>
      <sz val="10"/>
    </font>
    <font>
      <b val="1"/>
      <color rgb="000B6E7A"/>
      <sz val="10.5"/>
    </font>
  </fonts>
  <fills count="15">
    <fill>
      <patternFill/>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0016232E"/>
      </patternFill>
    </fill>
    <fill>
      <patternFill patternType="solid">
        <fgColor rgb="00E8F1DE"/>
      </patternFill>
    </fill>
    <fill>
      <patternFill patternType="solid">
        <fgColor rgb="00FDF1DC"/>
      </patternFill>
    </fill>
    <fill>
      <patternFill patternType="solid">
        <fgColor rgb="00D9D9D9"/>
      </patternFill>
    </fill>
    <fill>
      <patternFill patternType="solid">
        <fgColor rgb="00EFF6F7"/>
      </patternFill>
    </fill>
    <fill>
      <patternFill patternType="solid">
        <fgColor rgb="00FDF6E3"/>
      </patternFill>
    </fill>
  </fills>
  <borders count="44">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right style="thin">
        <color rgb="FF000000"/>
      </right>
      <bottom style="thin">
        <color rgb="FF000000"/>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medium">
        <color rgb="FF7F7F7F"/>
      </left>
      <right style="medium">
        <color rgb="FF7F7F7F"/>
      </right>
      <top style="medium">
        <color rgb="FF7F7F7F"/>
      </top>
      <bottom style="medium">
        <color rgb="FF7F7F7F"/>
      </bottom>
    </border>
    <border>
      <left style="medium">
        <color rgb="FF7F7F7F"/>
      </left>
    </border>
    <border>
      <top style="medium">
        <color rgb="FF7F7F7F"/>
      </top>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right style="medium">
        <color rgb="FF000000"/>
      </right>
    </border>
    <border>
      <left style="thin">
        <color rgb="00C8D0D6"/>
      </left>
      <right style="thin">
        <color rgb="00C8D0D6"/>
      </right>
      <top style="thin">
        <color rgb="00C8D0D6"/>
      </top>
      <bottom style="thin">
        <color rgb="00C8D0D6"/>
      </bottom>
    </border>
  </borders>
  <cellStyleXfs count="1">
    <xf numFmtId="0" fontId="0" fillId="0" borderId="0"/>
  </cellStyleXfs>
  <cellXfs count="114">
    <xf numFmtId="0" fontId="0" fillId="0" borderId="0" applyAlignment="1" pivotButton="0" quotePrefix="0" xfId="0">
      <alignment vertical="bottom"/>
    </xf>
    <xf numFmtId="0" fontId="1" fillId="0" borderId="0" pivotButton="0" quotePrefix="0" xfId="0"/>
    <xf numFmtId="9" fontId="2" fillId="2" borderId="1" applyAlignment="1" pivotButton="0" quotePrefix="0" xfId="0">
      <alignment horizontal="center" vertical="center" wrapText="1"/>
    </xf>
    <xf numFmtId="164" fontId="2" fillId="0" borderId="0" applyAlignment="1" pivotButton="0" quotePrefix="0" xfId="0">
      <alignment horizontal="right"/>
    </xf>
    <xf numFmtId="0" fontId="3" fillId="3" borderId="2" applyAlignment="1" pivotButton="0" quotePrefix="0" xfId="0">
      <alignment horizontal="center" vertical="center" wrapText="1"/>
    </xf>
    <xf numFmtId="9" fontId="2" fillId="4" borderId="3" applyAlignment="1" pivotButton="0" quotePrefix="0" xfId="0">
      <alignment horizontal="center" vertical="center"/>
    </xf>
    <xf numFmtId="164" fontId="2" fillId="0" borderId="0" pivotButton="0" quotePrefix="0" xfId="0"/>
    <xf numFmtId="0" fontId="4" fillId="0" borderId="0" pivotButton="0" quotePrefix="0" xfId="0"/>
    <xf numFmtId="0" fontId="3" fillId="3" borderId="4" applyAlignment="1" pivotButton="0" quotePrefix="0" xfId="0">
      <alignment horizontal="center" vertical="center" wrapText="1"/>
    </xf>
    <xf numFmtId="0" fontId="2" fillId="2" borderId="1" applyAlignment="1" pivotButton="0" quotePrefix="0" xfId="0">
      <alignment horizontal="center" vertical="center" wrapText="1"/>
    </xf>
    <xf numFmtId="0" fontId="5" fillId="0" borderId="5" pivotButton="0" quotePrefix="0" xfId="0"/>
    <xf numFmtId="0" fontId="5" fillId="0" borderId="6" pivotButton="0" quotePrefix="0" xfId="0"/>
    <xf numFmtId="0" fontId="2" fillId="0" borderId="0" applyAlignment="1" pivotButton="0" quotePrefix="0" xfId="0">
      <alignment horizontal="right" vertical="center"/>
    </xf>
    <xf numFmtId="0" fontId="5" fillId="0" borderId="7" pivotButton="0" quotePrefix="0" xfId="0"/>
    <xf numFmtId="0" fontId="2" fillId="0" borderId="8" applyAlignment="1" pivotButton="0" quotePrefix="0" xfId="0">
      <alignment horizontal="left"/>
    </xf>
    <xf numFmtId="0" fontId="5" fillId="0" borderId="9" pivotButton="0" quotePrefix="0" xfId="0"/>
    <xf numFmtId="0" fontId="6" fillId="3" borderId="2" applyAlignment="1" pivotButton="0" quotePrefix="0" xfId="0">
      <alignment horizontal="center" vertical="center" wrapText="1"/>
    </xf>
    <xf numFmtId="164" fontId="2" fillId="2" borderId="1" applyAlignment="1" pivotButton="0" quotePrefix="0" xfId="0">
      <alignment horizontal="center"/>
    </xf>
    <xf numFmtId="0" fontId="6" fillId="3" borderId="10" applyAlignment="1" pivotButton="0" quotePrefix="0" xfId="0">
      <alignment horizontal="center" vertical="center" wrapText="1"/>
    </xf>
    <xf numFmtId="0" fontId="3" fillId="3" borderId="10" applyAlignment="1" pivotButton="0" quotePrefix="0" xfId="0">
      <alignment horizontal="center" vertical="center" wrapText="1"/>
    </xf>
    <xf numFmtId="0" fontId="5" fillId="0" borderId="11" pivotButton="0" quotePrefix="0" xfId="0"/>
    <xf numFmtId="164" fontId="2" fillId="4" borderId="1" applyAlignment="1" pivotButton="0" quotePrefix="0" xfId="0">
      <alignment horizontal="center"/>
    </xf>
    <xf numFmtId="9" fontId="3" fillId="3" borderId="12"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13" applyAlignment="1" pivotButton="0" quotePrefix="0" xfId="0">
      <alignment horizontal="left" vertical="center" wrapText="1"/>
    </xf>
    <xf numFmtId="0" fontId="8" fillId="0" borderId="13" applyAlignment="1" pivotButton="0" quotePrefix="0" xfId="0">
      <alignment horizontal="center" vertical="center" wrapText="1"/>
    </xf>
    <xf numFmtId="0" fontId="7" fillId="0" borderId="2" applyAlignment="1" pivotButton="0" quotePrefix="0" xfId="0">
      <alignment horizontal="left" vertical="center" wrapText="1"/>
    </xf>
    <xf numFmtId="0" fontId="7" fillId="0" borderId="14" applyAlignment="1" pivotButton="0" quotePrefix="0" xfId="0">
      <alignment horizontal="left" vertical="center" wrapText="1"/>
    </xf>
    <xf numFmtId="0" fontId="8" fillId="0" borderId="2" applyAlignment="1" pivotButton="0" quotePrefix="0" xfId="0">
      <alignment horizontal="center" vertical="center" wrapText="1"/>
    </xf>
    <xf numFmtId="0" fontId="7" fillId="0" borderId="1" applyAlignment="1" pivotButton="0" quotePrefix="0" xfId="0">
      <alignment horizontal="left" vertical="center" wrapText="1"/>
    </xf>
    <xf numFmtId="0" fontId="9" fillId="5" borderId="3" applyAlignment="1" pivotButton="0" quotePrefix="0" xfId="0">
      <alignment horizontal="center" vertical="center" textRotation="255"/>
    </xf>
    <xf numFmtId="0" fontId="10" fillId="6" borderId="1" applyAlignment="1" pivotButton="0" quotePrefix="0" xfId="0">
      <alignment horizontal="center" vertical="center"/>
    </xf>
    <xf numFmtId="0" fontId="8" fillId="0" borderId="15" applyAlignment="1" pivotButton="0" quotePrefix="0" xfId="0">
      <alignment horizontal="center" vertical="center" wrapText="1"/>
    </xf>
    <xf numFmtId="0" fontId="11" fillId="6" borderId="3" applyAlignment="1" pivotButton="0" quotePrefix="0" xfId="0">
      <alignment horizontal="center" vertical="center"/>
    </xf>
    <xf numFmtId="0" fontId="11" fillId="6" borderId="8" applyAlignment="1" pivotButton="0" quotePrefix="0" xfId="0">
      <alignment horizontal="center" vertical="center"/>
    </xf>
    <xf numFmtId="0" fontId="5" fillId="0" borderId="16" pivotButton="0" quotePrefix="0" xfId="0"/>
    <xf numFmtId="0" fontId="5" fillId="0" borderId="17" pivotButton="0" quotePrefix="0" xfId="0"/>
    <xf numFmtId="0" fontId="5" fillId="0" borderId="18" pivotButton="0" quotePrefix="0" xfId="0"/>
    <xf numFmtId="0" fontId="11" fillId="6" borderId="19" applyAlignment="1" pivotButton="0" quotePrefix="0" xfId="0">
      <alignment horizontal="center" vertical="center"/>
    </xf>
    <xf numFmtId="0" fontId="7" fillId="0" borderId="9" applyAlignment="1" pivotButton="0" quotePrefix="0" xfId="0">
      <alignment horizontal="left" vertical="center" wrapText="1"/>
    </xf>
    <xf numFmtId="0" fontId="8" fillId="0" borderId="14" applyAlignment="1" pivotButton="0" quotePrefix="0" xfId="0">
      <alignment horizontal="center" vertical="center" wrapText="1"/>
    </xf>
    <xf numFmtId="0" fontId="8" fillId="0" borderId="1" applyAlignment="1" pivotButton="0" quotePrefix="0" xfId="0">
      <alignment horizontal="center" vertical="center" wrapText="1"/>
    </xf>
    <xf numFmtId="0" fontId="12" fillId="0" borderId="1" applyAlignment="1" pivotButton="0" quotePrefix="0" xfId="0">
      <alignment horizontal="left" vertical="center" wrapText="1"/>
    </xf>
    <xf numFmtId="0" fontId="8" fillId="0" borderId="4" applyAlignment="1" pivotButton="0" quotePrefix="0" xfId="0">
      <alignment horizontal="right" vertical="center" wrapText="1"/>
    </xf>
    <xf numFmtId="0" fontId="7" fillId="0" borderId="17" applyAlignment="1" pivotButton="0" quotePrefix="0" xfId="0">
      <alignment horizontal="left" vertical="center"/>
    </xf>
    <xf numFmtId="9" fontId="8" fillId="0" borderId="13" applyAlignment="1" pivotButton="0" quotePrefix="0" xfId="0">
      <alignment horizontal="center" vertical="center" wrapText="1"/>
    </xf>
    <xf numFmtId="0" fontId="7" fillId="0" borderId="1" applyAlignment="1" pivotButton="0" quotePrefix="0" xfId="0">
      <alignment horizontal="center" vertical="center"/>
    </xf>
    <xf numFmtId="0" fontId="4" fillId="6" borderId="20" applyAlignment="1" pivotButton="0" quotePrefix="0" xfId="0">
      <alignment horizontal="left" vertical="center" wrapText="1"/>
    </xf>
    <xf numFmtId="0" fontId="4" fillId="6" borderId="21" applyAlignment="1" pivotButton="0" quotePrefix="0" xfId="0">
      <alignment vertical="center" wrapText="1"/>
    </xf>
    <xf numFmtId="0" fontId="4" fillId="6" borderId="22" applyAlignment="1" pivotButton="0" quotePrefix="0" xfId="0">
      <alignment vertical="center" wrapText="1"/>
    </xf>
    <xf numFmtId="0" fontId="4" fillId="6" borderId="23" applyAlignment="1" pivotButton="0" quotePrefix="0" xfId="0">
      <alignment vertical="center" wrapText="1"/>
    </xf>
    <xf numFmtId="0" fontId="5" fillId="0" borderId="24" pivotButton="0" quotePrefix="0" xfId="0"/>
    <xf numFmtId="0" fontId="4" fillId="6" borderId="25" applyAlignment="1" pivotButton="0" quotePrefix="0" xfId="0">
      <alignment vertical="center" wrapText="1"/>
    </xf>
    <xf numFmtId="0" fontId="4" fillId="6" borderId="26" applyAlignment="1" pivotButton="0" quotePrefix="0" xfId="0">
      <alignment vertical="center" wrapText="1"/>
    </xf>
    <xf numFmtId="0" fontId="4" fillId="6" borderId="27"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horizontal="left" vertical="center" wrapText="1"/>
    </xf>
    <xf numFmtId="0" fontId="12" fillId="0" borderId="6" applyAlignment="1" pivotButton="0" quotePrefix="0" xfId="0">
      <alignment horizontal="right" vertical="center" wrapText="1"/>
    </xf>
    <xf numFmtId="0" fontId="13" fillId="0" borderId="3" pivotButton="0" quotePrefix="0" xfId="0"/>
    <xf numFmtId="0" fontId="2" fillId="7" borderId="1" pivotButton="0" quotePrefix="0" xfId="0"/>
    <xf numFmtId="0" fontId="12" fillId="0" borderId="8" applyAlignment="1" pivotButton="0" quotePrefix="0" xfId="0">
      <alignment horizontal="right" vertical="center" wrapText="1"/>
    </xf>
    <xf numFmtId="164" fontId="13" fillId="0" borderId="1" pivotButton="0" quotePrefix="0" xfId="0"/>
    <xf numFmtId="0" fontId="2" fillId="8" borderId="3" applyAlignment="1" pivotButton="0" quotePrefix="0" xfId="0">
      <alignment horizontal="center" vertical="center" textRotation="255"/>
    </xf>
    <xf numFmtId="0" fontId="2" fillId="4" borderId="3" applyAlignment="1" pivotButton="0" quotePrefix="0" xfId="0">
      <alignment horizontal="right" vertical="center"/>
    </xf>
    <xf numFmtId="0" fontId="14" fillId="0" borderId="29" applyAlignment="1" pivotButton="0" quotePrefix="0" xfId="0">
      <alignment horizontal="left"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5" fillId="0" borderId="34" pivotButton="0" quotePrefix="0" xfId="0"/>
    <xf numFmtId="0" fontId="11" fillId="6" borderId="1" applyAlignment="1" pivotButton="0" quotePrefix="0" xfId="0">
      <alignment horizontal="center" vertical="center"/>
    </xf>
    <xf numFmtId="0" fontId="4" fillId="0" borderId="1" applyAlignment="1" pivotButton="0" quotePrefix="0" xfId="0">
      <alignment horizontal="right" vertical="center" wrapText="1"/>
    </xf>
    <xf numFmtId="0" fontId="13" fillId="0" borderId="1" pivotButton="0" quotePrefix="0" xfId="0"/>
    <xf numFmtId="0" fontId="12" fillId="0" borderId="1" applyAlignment="1" pivotButton="0" quotePrefix="0" xfId="0">
      <alignment horizontal="right" vertical="center" wrapText="1"/>
    </xf>
    <xf numFmtId="0" fontId="12" fillId="0" borderId="0" applyAlignment="1" pivotButton="0" quotePrefix="0" xfId="0">
      <alignment horizontal="right" vertical="center" wrapText="1"/>
    </xf>
    <xf numFmtId="164" fontId="13" fillId="0" borderId="0" pivotButton="0" quotePrefix="0" xfId="0"/>
    <xf numFmtId="0" fontId="0" fillId="0" borderId="0" pivotButton="0" quotePrefix="0" xfId="0"/>
    <xf numFmtId="0" fontId="15" fillId="0" borderId="0" pivotButton="0" quotePrefix="0" xfId="0"/>
    <xf numFmtId="0" fontId="16" fillId="0" borderId="0" pivotButton="0" quotePrefix="0" xfId="0"/>
    <xf numFmtId="0" fontId="17" fillId="0" borderId="0" applyAlignment="1" pivotButton="0" quotePrefix="0" xfId="0">
      <alignment vertical="top" wrapText="1"/>
    </xf>
    <xf numFmtId="0" fontId="18" fillId="0" borderId="0" pivotButton="0" quotePrefix="0" xfId="0"/>
    <xf numFmtId="0" fontId="19" fillId="9" borderId="43" applyAlignment="1" pivotButton="0" quotePrefix="0" xfId="0">
      <alignment horizontal="center" vertical="center" wrapText="1"/>
    </xf>
    <xf numFmtId="0" fontId="20" fillId="0" borderId="43" applyAlignment="1" pivotButton="0" quotePrefix="0" xfId="0">
      <alignment horizontal="center" vertical="center" wrapText="1"/>
    </xf>
    <xf numFmtId="0" fontId="20" fillId="0" borderId="43" applyAlignment="1" pivotButton="0" quotePrefix="0" xfId="0">
      <alignment vertical="top" wrapText="1"/>
    </xf>
    <xf numFmtId="0" fontId="21" fillId="10" borderId="43" applyAlignment="1" pivotButton="0" quotePrefix="0" xfId="0">
      <alignment horizontal="center" vertical="center" wrapText="1"/>
    </xf>
    <xf numFmtId="0" fontId="21" fillId="11" borderId="43" applyAlignment="1" pivotButton="0" quotePrefix="0" xfId="0">
      <alignment horizontal="center" vertical="center" wrapText="1"/>
    </xf>
    <xf numFmtId="0" fontId="21" fillId="12" borderId="43" applyAlignment="1" pivotButton="0" quotePrefix="0" xfId="0">
      <alignment vertical="top" wrapText="1"/>
    </xf>
    <xf numFmtId="0" fontId="21" fillId="12" borderId="43" applyAlignment="1" pivotButton="0" quotePrefix="0" xfId="0">
      <alignment horizontal="center" vertical="center" wrapText="1"/>
    </xf>
    <xf numFmtId="0" fontId="22" fillId="13" borderId="43" applyAlignment="1" pivotButton="0" quotePrefix="0" xfId="0">
      <alignment vertical="center"/>
    </xf>
    <xf numFmtId="0" fontId="21" fillId="12" borderId="43" pivotButton="0" quotePrefix="0" xfId="0"/>
    <xf numFmtId="0" fontId="20" fillId="14" borderId="43" applyAlignment="1" pivotButton="0" quotePrefix="0" xfId="0">
      <alignment vertical="top" wrapText="1"/>
    </xf>
    <xf numFmtId="9" fontId="2" fillId="4" borderId="1" applyAlignment="1" pivotButton="0" quotePrefix="0" xfId="0">
      <alignment horizontal="center" vertical="center"/>
    </xf>
    <xf numFmtId="0" fontId="0" fillId="0" borderId="6" pivotButton="0" quotePrefix="0" xfId="0"/>
    <xf numFmtId="0" fontId="9" fillId="5" borderId="1" applyAlignment="1" pivotButton="0" quotePrefix="0" xfId="0">
      <alignment horizontal="center" vertical="center" textRotation="255"/>
    </xf>
    <xf numFmtId="0" fontId="0" fillId="0" borderId="16" pivotButton="0" quotePrefix="0" xfId="0"/>
    <xf numFmtId="0" fontId="0" fillId="0" borderId="17" pivotButton="0" quotePrefix="0" xfId="0"/>
    <xf numFmtId="0" fontId="0" fillId="0" borderId="18" pivotButton="0" quotePrefix="0" xfId="0"/>
    <xf numFmtId="0" fontId="2" fillId="8" borderId="1" applyAlignment="1" pivotButton="0" quotePrefix="0" xfId="0">
      <alignment horizontal="center" vertical="center" textRotation="255"/>
    </xf>
    <xf numFmtId="0" fontId="2" fillId="4" borderId="1" applyAlignment="1" pivotButton="0" quotePrefix="0" xfId="0">
      <alignment horizontal="right" vertical="center"/>
    </xf>
    <xf numFmtId="0" fontId="14" fillId="0" borderId="1" applyAlignment="1" pivotButton="0" quotePrefix="0" xfId="0">
      <alignment horizontal="left"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3" fillId="3" borderId="37"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9" pivotButton="0" quotePrefix="0" xfId="0"/>
    <xf numFmtId="0" fontId="6" fillId="3" borderId="37" applyAlignment="1" pivotButton="0" quotePrefix="0" xfId="0">
      <alignment horizontal="center" vertical="center" wrapText="1"/>
    </xf>
    <xf numFmtId="0" fontId="0" fillId="0" borderId="11" pivotButton="0" quotePrefix="0" xfId="0"/>
    <xf numFmtId="0" fontId="8" fillId="0" borderId="37" applyAlignment="1" pivotButton="0" quotePrefix="0" xfId="0">
      <alignment horizontal="right" vertical="center" wrapText="1"/>
    </xf>
    <xf numFmtId="0" fontId="4" fillId="6" borderId="40" applyAlignment="1" pivotButton="0" quotePrefix="0" xfId="0">
      <alignment horizontal="left" vertical="center" wrapText="1"/>
    </xf>
    <xf numFmtId="0" fontId="0" fillId="0" borderId="24" pivotButton="0" quotePrefix="0" xfId="0"/>
  </cellXfs>
  <cellStyles count="1">
    <cellStyle name="Normal" xfId="0" builtinId="0"/>
  </cellStyles>
  <dxfs count="1">
    <dxf>
      <font>
        <color rgb="FF9C0006"/>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6" customWidth="1" style="76" min="1" max="1"/>
    <col width="62" customWidth="1" style="76" min="2" max="2"/>
    <col width="22" customWidth="1" style="76" min="3" max="3"/>
    <col width="12" customWidth="1" style="76" min="4" max="4"/>
    <col width="10" customWidth="1" style="76" min="5" max="5"/>
    <col width="62" customWidth="1" style="76" min="6" max="6"/>
  </cols>
  <sheetData>
    <row r="1">
      <c r="A1" s="77" t="inlineStr">
        <is>
          <t>Ensayo interno de la evaluación de Fase 1</t>
        </is>
      </c>
    </row>
    <row r="2">
      <c r="A2" s="78" t="inlineStr">
        <is>
          <t>Proyecto APT CascoVision · Equipo: Iahn Vera, Joaquín Armijo, Benjamín Cáceres, Fernando Muñoz · Autoaplicado en la Semana 3, antes de la evaluación sumativa de la Semana 4.</t>
        </is>
      </c>
    </row>
    <row r="4" ht="30" customHeight="1" s="76">
      <c r="A4" s="79" t="inlineStr">
        <is>
          <t>ATENCIÓN: esta planilla la aplica el/la docente. Esta copia fue autoaplicada por el equipo como simulación previa para detectar brechas. No sustituye ni anticipa la evaluación real.</t>
        </is>
      </c>
    </row>
    <row r="6">
      <c r="A6" s="80" t="inlineStr">
        <is>
          <t>Sección grupal (70 puntos)</t>
        </is>
      </c>
    </row>
    <row r="7" ht="28" customHeight="1" s="76">
      <c r="A7" s="81" t="inlineStr">
        <is>
          <t>#</t>
        </is>
      </c>
      <c r="B7" s="81" t="inlineStr">
        <is>
          <t>Aspecto evaluado</t>
        </is>
      </c>
      <c r="C7" s="81" t="inlineStr">
        <is>
          <t>Nivel del ensayo</t>
        </is>
      </c>
      <c r="D7" s="81" t="inlineStr">
        <is>
          <t>Ponderación</t>
        </is>
      </c>
      <c r="E7" s="81" t="inlineStr">
        <is>
          <t>Puntaje</t>
        </is>
      </c>
      <c r="F7" s="81" t="inlineStr">
        <is>
          <t>Fundamento del nivel asignado</t>
        </is>
      </c>
    </row>
    <row r="8" ht="44" customHeight="1" s="76">
      <c r="A8" s="82" t="inlineStr">
        <is>
          <t>1</t>
        </is>
      </c>
      <c r="B8" s="83" t="inlineStr">
        <is>
          <t>Describe brevemente el Proyecto APT y justifica su relevancia para el campo laboral.</t>
        </is>
      </c>
      <c r="C8" s="84" t="inlineStr">
        <is>
          <t>Completamente logrado</t>
        </is>
      </c>
      <c r="D8" s="82" t="n">
        <v>10</v>
      </c>
      <c r="E8" s="82" t="n">
        <v>10</v>
      </c>
      <c r="F8" s="83" t="inlineStr">
        <is>
          <t>El documento describe el sistema y cuantifica la relevancia con datos del sector: participación en el PIB, dotación del rubro y rango de multas.</t>
        </is>
      </c>
    </row>
    <row r="9" ht="44" customHeight="1" s="76">
      <c r="A9" s="82" t="inlineStr">
        <is>
          <t>2</t>
        </is>
      </c>
      <c r="B9" s="83" t="inlineStr">
        <is>
          <t>Relaciona el Proyecto APT con las competencias del perfil de egreso.</t>
        </is>
      </c>
      <c r="C9" s="84" t="inlineStr">
        <is>
          <t>Completamente logrado</t>
        </is>
      </c>
      <c r="D9" s="82" t="n">
        <v>5</v>
      </c>
      <c r="E9" s="82" t="n">
        <v>5</v>
      </c>
      <c r="F9" s="83" t="inlineStr">
        <is>
          <t>Tabla que mapea las cuatro competencias con sus indicadores de calidad y el componente del proyecto que cubre cada una.</t>
        </is>
      </c>
    </row>
    <row r="10" ht="44" customHeight="1" s="76">
      <c r="A10" s="82" t="inlineStr">
        <is>
          <t>4</t>
        </is>
      </c>
      <c r="B10" s="83" t="inlineStr">
        <is>
          <t>Argumenta por qué el proyecto es factible en el marco de la asignatura.</t>
        </is>
      </c>
      <c r="C10" s="84" t="inlineStr">
        <is>
          <t>Completamente logrado</t>
        </is>
      </c>
      <c r="D10" s="82" t="n">
        <v>5</v>
      </c>
      <c r="E10" s="82" t="n">
        <v>5</v>
      </c>
      <c r="F10" s="83" t="inlineStr">
        <is>
          <t>Prototipo funcional validado, arquitectura definida y alcance de 18 semanas centrado en integrar componentes probados. Dificultades con mitigación declarada.</t>
        </is>
      </c>
    </row>
    <row r="11" ht="44" customHeight="1" s="76">
      <c r="A11" s="82" t="inlineStr">
        <is>
          <t>5</t>
        </is>
      </c>
      <c r="B11" s="83" t="inlineStr">
        <is>
          <t>Formula objetivos claros, concisos y coherentes con la disciplina.</t>
        </is>
      </c>
      <c r="C11" s="84" t="inlineStr">
        <is>
          <t>Completamente logrado</t>
        </is>
      </c>
      <c r="D11" s="82" t="n">
        <v>5</v>
      </c>
      <c r="E11" s="82" t="n">
        <v>5</v>
      </c>
      <c r="F11" s="83" t="inlineStr">
        <is>
          <t>Un objetivo general y ocho específicos en infinitivo, con criterios medibles donde corresponde (mAP ≥ 0,90; latencia &lt; 5 s).</t>
        </is>
      </c>
    </row>
    <row r="12" ht="44" customHeight="1" s="76">
      <c r="A12" s="82" t="inlineStr">
        <is>
          <t>6</t>
        </is>
      </c>
      <c r="B12" s="83" t="inlineStr">
        <is>
          <t>Propone una metodología que permite alcanzar los objetivos.</t>
        </is>
      </c>
      <c r="C12" s="85" t="inlineStr">
        <is>
          <t>Logrado</t>
        </is>
      </c>
      <c r="D12" s="82" t="n">
        <v>10</v>
      </c>
      <c r="E12" s="82" t="n">
        <v>6</v>
      </c>
      <c r="F12" s="83" t="inlineStr">
        <is>
          <t>La metodología iterativa incremental está definida y justificada, pero los roles figuran como propuesta y falta detallar el criterio de cierre de cada ciclo.</t>
        </is>
      </c>
    </row>
    <row r="13" ht="44" customHeight="1" s="76">
      <c r="A13" s="82" t="inlineStr">
        <is>
          <t>7</t>
        </is>
      </c>
      <c r="B13" s="83" t="inlineStr">
        <is>
          <t>Establece un plan de trabajo con recursos, duración, facilitadores y obstaculizadores.</t>
        </is>
      </c>
      <c r="C13" s="85" t="inlineStr">
        <is>
          <t>Logrado</t>
        </is>
      </c>
      <c r="D13" s="82" t="n">
        <v>10</v>
      </c>
      <c r="E13" s="82" t="n">
        <v>6</v>
      </c>
      <c r="F13" s="83" t="inlineStr">
        <is>
          <t>El desglose semana a semana y la matriz de riesgos están completos; los recursos por actividad quedaron itemizados recién en la versión final del documento.</t>
        </is>
      </c>
    </row>
    <row r="14" ht="44" customHeight="1" s="76">
      <c r="A14" s="82" t="inlineStr">
        <is>
          <t>8</t>
        </is>
      </c>
      <c r="B14" s="83" t="inlineStr">
        <is>
          <t>Determina evidencias justificando cómo dan cuenta del logro de las actividades.</t>
        </is>
      </c>
      <c r="C14" s="85" t="inlineStr">
        <is>
          <t>Logrado</t>
        </is>
      </c>
      <c r="D14" s="82" t="n">
        <v>5</v>
      </c>
      <c r="E14" s="82" t="n">
        <v>3</v>
      </c>
      <c r="F14" s="83" t="inlineStr">
        <is>
          <t>La tabla de evidencias está redactada con justificación, pero aún no ha sido acordada con el docente, que es lo que la pauta exige.</t>
        </is>
      </c>
    </row>
    <row r="15" ht="44" customHeight="1" s="76">
      <c r="A15" s="82" t="inlineStr">
        <is>
          <t>9</t>
        </is>
      </c>
      <c r="B15" s="83" t="inlineStr">
        <is>
          <t>Utiliza reglas de redacción, ortografía y normas de citas y referencias.</t>
        </is>
      </c>
      <c r="C15" s="85" t="inlineStr">
        <is>
          <t>Logrado</t>
        </is>
      </c>
      <c r="D15" s="82" t="n">
        <v>5</v>
      </c>
      <c r="E15" s="82" t="n">
        <v>3</v>
      </c>
      <c r="F15" s="83" t="inlineStr">
        <is>
          <t>Redacción y ortografía cuidadas, pero faltan las referencias formateadas según norma para los datos de SUSESO, Dirección del Trabajo e ISO 45001.</t>
        </is>
      </c>
    </row>
    <row r="16" ht="44" customHeight="1" s="76">
      <c r="A16" s="82" t="inlineStr">
        <is>
          <t>10</t>
        </is>
      </c>
      <c r="B16" s="83" t="inlineStr">
        <is>
          <t>Cumple el contenido del informe de presentación según la plantilla entregada.</t>
        </is>
      </c>
      <c r="C16" s="85" t="inlineStr">
        <is>
          <t>Logrado</t>
        </is>
      </c>
      <c r="D16" s="82" t="n">
        <v>5</v>
      </c>
      <c r="E16" s="82" t="n">
        <v>3</v>
      </c>
      <c r="F16" s="83" t="inlineStr">
        <is>
          <t>Falta armar el informe técnico con la estructura completa: portada, índice, abstract bilingüe, desarrollo de ingeniería, conclusiones y reflexión.</t>
        </is>
      </c>
    </row>
    <row r="17" ht="44" customHeight="1" s="76">
      <c r="A17" s="82" t="inlineStr">
        <is>
          <t>12</t>
        </is>
      </c>
      <c r="B17" s="83" t="inlineStr">
        <is>
          <t>Desarrolla un plan de trabajo que permite el logro de los objetivos según los tiempos.</t>
        </is>
      </c>
      <c r="C17" s="85" t="inlineStr">
        <is>
          <t>Logrado</t>
        </is>
      </c>
      <c r="D17" s="82" t="n">
        <v>10</v>
      </c>
      <c r="E17" s="82" t="n">
        <v>6</v>
      </c>
      <c r="F17" s="83" t="inlineStr">
        <is>
          <t>La carta Gantt cubre las 18 semanas con hitos claros; falta declarar el criterio de verificación de cada hito intermedio.</t>
        </is>
      </c>
    </row>
    <row r="18">
      <c r="A18" s="86" t="n"/>
      <c r="B18" s="86" t="inlineStr">
        <is>
          <t>Total sección grupal</t>
        </is>
      </c>
      <c r="C18" s="86" t="n"/>
      <c r="D18" s="87" t="n">
        <v>70</v>
      </c>
      <c r="E18" s="87" t="n">
        <v>52</v>
      </c>
      <c r="F18" s="86" t="inlineStr">
        <is>
          <t>52 de 70 puntos en el ensayo.</t>
        </is>
      </c>
    </row>
    <row r="21">
      <c r="A21" s="80" t="inlineStr">
        <is>
          <t>Sección individual (30 puntos por integrante)</t>
        </is>
      </c>
    </row>
    <row r="22" ht="28" customHeight="1" s="76">
      <c r="A22" s="81" t="inlineStr">
        <is>
          <t>#</t>
        </is>
      </c>
      <c r="B22" s="81" t="inlineStr">
        <is>
          <t>Aspecto evaluado</t>
        </is>
      </c>
      <c r="C22" s="81" t="inlineStr">
        <is>
          <t>Nivel del ensayo</t>
        </is>
      </c>
      <c r="D22" s="81" t="inlineStr">
        <is>
          <t>Ponderación</t>
        </is>
      </c>
      <c r="E22" s="81" t="inlineStr">
        <is>
          <t>Puntaje</t>
        </is>
      </c>
      <c r="F22" s="81" t="inlineStr">
        <is>
          <t>Fundamento del nivel asignado</t>
        </is>
      </c>
    </row>
    <row r="23">
      <c r="A23" s="88" t="inlineStr">
        <is>
          <t>Iahn Vera</t>
        </is>
      </c>
    </row>
    <row r="24" ht="38" customHeight="1" s="76">
      <c r="A24" s="82" t="inlineStr">
        <is>
          <t>3</t>
        </is>
      </c>
      <c r="B24" s="83" t="inlineStr">
        <is>
          <t>Relaciona el Proyecto APT con sus intereses profesionales.</t>
        </is>
      </c>
      <c r="C24" s="84" t="inlineStr">
        <is>
          <t>Completamente logrado</t>
        </is>
      </c>
      <c r="D24" s="82" t="n">
        <v>10</v>
      </c>
      <c r="E24" s="82" t="n">
        <v>10</v>
      </c>
      <c r="F24" s="83" t="inlineStr">
        <is>
          <t>Visión computacional y gestión de proyectos, con el paquete de IA y jefatura a su cargo. Conexión explícita con su actividad laboral.</t>
        </is>
      </c>
    </row>
    <row r="25" ht="38" customHeight="1" s="76">
      <c r="A25" s="82" t="inlineStr">
        <is>
          <t>11</t>
        </is>
      </c>
      <c r="B25" s="83" t="inlineStr">
        <is>
          <t>Expone con lenguaje técnico disciplinar y responde con manejo de la información.</t>
        </is>
      </c>
      <c r="C25" s="85" t="inlineStr">
        <is>
          <t>Logrado</t>
        </is>
      </c>
      <c r="D25" s="82" t="n">
        <v>10</v>
      </c>
      <c r="E25" s="82" t="n">
        <v>6</v>
      </c>
      <c r="F25" s="83" t="inlineStr">
        <is>
          <t>Domina el contenido, pero tiende a extenderse; el riesgo es consumir el tiempo de las láminas finales.</t>
        </is>
      </c>
    </row>
    <row r="26" ht="38" customHeight="1" s="76">
      <c r="A26" s="82" t="inlineStr">
        <is>
          <t>13</t>
        </is>
      </c>
      <c r="B26" s="83" t="inlineStr">
        <is>
          <t>Colaboración y trabajo en equipo.</t>
        </is>
      </c>
      <c r="C26" s="84" t="inlineStr">
        <is>
          <t>Completamente logrado</t>
        </is>
      </c>
      <c r="D26" s="82" t="n">
        <v>10</v>
      </c>
      <c r="E26" s="82" t="n">
        <v>10</v>
      </c>
      <c r="F26" s="83" t="inlineStr">
        <is>
          <t>Coordina, consolida documentación y reparte paquetes con responsable único. Debe mejorar en delegar efectivamente.</t>
        </is>
      </c>
    </row>
    <row r="27">
      <c r="A27" s="89" t="n"/>
      <c r="B27" s="89" t="inlineStr">
        <is>
          <t>Subtotal</t>
        </is>
      </c>
      <c r="C27" s="89" t="n"/>
      <c r="D27" s="87" t="n">
        <v>30</v>
      </c>
      <c r="E27" s="87" t="n">
        <v>26</v>
      </c>
      <c r="F27" s="89" t="n"/>
    </row>
    <row r="29">
      <c r="A29" s="88" t="inlineStr">
        <is>
          <t>Joaquín Armijo</t>
        </is>
      </c>
    </row>
    <row r="30" ht="38" customHeight="1" s="76">
      <c r="A30" s="82" t="inlineStr">
        <is>
          <t>3</t>
        </is>
      </c>
      <c r="B30" s="83" t="inlineStr">
        <is>
          <t>Relaciona el Proyecto APT con sus intereses profesionales.</t>
        </is>
      </c>
      <c r="C30" s="84" t="inlineStr">
        <is>
          <t>Completamente logrado</t>
        </is>
      </c>
      <c r="D30" s="82" t="n">
        <v>10</v>
      </c>
      <c r="E30" s="82" t="n">
        <v>10</v>
      </c>
      <c r="F30" s="83" t="inlineStr">
        <is>
          <t>Desarrollo backend y modelo de datos, alineado con los paquetes 3 y 4 de la EDT que asume.</t>
        </is>
      </c>
    </row>
    <row r="31" ht="38" customHeight="1" s="76">
      <c r="A31" s="82" t="inlineStr">
        <is>
          <t>11</t>
        </is>
      </c>
      <c r="B31" s="83" t="inlineStr">
        <is>
          <t>Expone con lenguaje técnico disciplinar y responde con manejo de la información.</t>
        </is>
      </c>
      <c r="C31" s="85" t="inlineStr">
        <is>
          <t>Logrado</t>
        </is>
      </c>
      <c r="D31" s="82" t="n">
        <v>10</v>
      </c>
      <c r="E31" s="82" t="n">
        <v>6</v>
      </c>
      <c r="F31" s="83" t="inlineStr">
        <is>
          <t>Maneja el contenido técnico; conviene ensayar el bloque de objetivos para no leerlos de la lámina.</t>
        </is>
      </c>
    </row>
    <row r="32" ht="38" customHeight="1" s="76">
      <c r="A32" s="82" t="inlineStr">
        <is>
          <t>13</t>
        </is>
      </c>
      <c r="B32" s="83" t="inlineStr">
        <is>
          <t>Colaboración y trabajo en equipo.</t>
        </is>
      </c>
      <c r="C32" s="84" t="inlineStr">
        <is>
          <t>Completamente logrado</t>
        </is>
      </c>
      <c r="D32" s="82" t="n">
        <v>10</v>
      </c>
      <c r="E32" s="82" t="n">
        <v>10</v>
      </c>
      <c r="F32" s="83" t="inlineStr">
        <is>
          <t>Responsable único de dos paquetes con dependencias hacia el resto del equipo.</t>
        </is>
      </c>
    </row>
    <row r="33">
      <c r="A33" s="89" t="n"/>
      <c r="B33" s="89" t="inlineStr">
        <is>
          <t>Subtotal</t>
        </is>
      </c>
      <c r="C33" s="89" t="n"/>
      <c r="D33" s="87" t="n">
        <v>30</v>
      </c>
      <c r="E33" s="87" t="n">
        <v>26</v>
      </c>
      <c r="F33" s="89" t="n"/>
    </row>
    <row r="35">
      <c r="A35" s="88" t="inlineStr">
        <is>
          <t>Benjamín Cáceres</t>
        </is>
      </c>
    </row>
    <row r="36" ht="38" customHeight="1" s="76">
      <c r="A36" s="82" t="inlineStr">
        <is>
          <t>3</t>
        </is>
      </c>
      <c r="B36" s="83" t="inlineStr">
        <is>
          <t>Relaciona el Proyecto APT con sus intereses profesionales.</t>
        </is>
      </c>
      <c r="C36" s="84" t="inlineStr">
        <is>
          <t>Completamente logrado</t>
        </is>
      </c>
      <c r="D36" s="82" t="n">
        <v>10</v>
      </c>
      <c r="E36" s="82" t="n">
        <v>10</v>
      </c>
      <c r="F36" s="83" t="inlineStr">
        <is>
          <t>Frontend y reportería, alineado con los paquetes 4 y 6 de la EDT.</t>
        </is>
      </c>
    </row>
    <row r="37" ht="38" customHeight="1" s="76">
      <c r="A37" s="82" t="inlineStr">
        <is>
          <t>11</t>
        </is>
      </c>
      <c r="B37" s="83" t="inlineStr">
        <is>
          <t>Expone con lenguaje técnico disciplinar y responde con manejo de la información.</t>
        </is>
      </c>
      <c r="C37" s="85" t="inlineStr">
        <is>
          <t>Logrado</t>
        </is>
      </c>
      <c r="D37" s="82" t="n">
        <v>10</v>
      </c>
      <c r="E37" s="82" t="n">
        <v>6</v>
      </c>
      <c r="F37" s="83" t="inlineStr">
        <is>
          <t>Asume el bloque de cierre y el económico; debe preparar la aclaración de los dos horizontes temporales.</t>
        </is>
      </c>
    </row>
    <row r="38" ht="38" customHeight="1" s="76">
      <c r="A38" s="82" t="inlineStr">
        <is>
          <t>13</t>
        </is>
      </c>
      <c r="B38" s="83" t="inlineStr">
        <is>
          <t>Colaboración y trabajo en equipo.</t>
        </is>
      </c>
      <c r="C38" s="84" t="inlineStr">
        <is>
          <t>Completamente logrado</t>
        </is>
      </c>
      <c r="D38" s="82" t="n">
        <v>10</v>
      </c>
      <c r="E38" s="82" t="n">
        <v>10</v>
      </c>
      <c r="F38" s="83" t="inlineStr">
        <is>
          <t>Integra su frente con la API y con las alertas remotas, lo que exige coordinación constante.</t>
        </is>
      </c>
    </row>
    <row r="39">
      <c r="A39" s="89" t="n"/>
      <c r="B39" s="89" t="inlineStr">
        <is>
          <t>Subtotal</t>
        </is>
      </c>
      <c r="C39" s="89" t="n"/>
      <c r="D39" s="87" t="n">
        <v>30</v>
      </c>
      <c r="E39" s="87" t="n">
        <v>26</v>
      </c>
      <c r="F39" s="89" t="n"/>
    </row>
    <row r="41">
      <c r="A41" s="88" t="inlineStr">
        <is>
          <t>Fernando Muñoz  (sin bloque en la planilla original)</t>
        </is>
      </c>
    </row>
    <row r="42" ht="38" customHeight="1" s="76">
      <c r="A42" s="82" t="inlineStr">
        <is>
          <t>3</t>
        </is>
      </c>
      <c r="B42" s="83" t="inlineStr">
        <is>
          <t>Relaciona el Proyecto APT con sus intereses profesionales.</t>
        </is>
      </c>
      <c r="C42" s="84" t="inlineStr">
        <is>
          <t>Completamente logrado</t>
        </is>
      </c>
      <c r="D42" s="82" t="n">
        <v>10</v>
      </c>
      <c r="E42" s="82" t="n">
        <v>10</v>
      </c>
      <c r="F42" s="83" t="inlineStr">
        <is>
          <t>Sistemas embebidos por red y aseguramiento de calidad, alineado con los paquetes 5 y 7 de la EDT.</t>
        </is>
      </c>
    </row>
    <row r="43" ht="38" customHeight="1" s="76">
      <c r="A43" s="82" t="inlineStr">
        <is>
          <t>11</t>
        </is>
      </c>
      <c r="B43" s="83" t="inlineStr">
        <is>
          <t>Expone con lenguaje técnico disciplinar y responde con manejo de la información.</t>
        </is>
      </c>
      <c r="C43" s="85" t="inlineStr">
        <is>
          <t>Logrado</t>
        </is>
      </c>
      <c r="D43" s="82" t="n">
        <v>10</v>
      </c>
      <c r="E43" s="82" t="n">
        <v>6</v>
      </c>
      <c r="F43" s="83" t="inlineStr">
        <is>
          <t>Asume el bloque de la solución y el diferenciador, que es el núcleo técnico de la presentación.</t>
        </is>
      </c>
    </row>
    <row r="44" ht="38" customHeight="1" s="76">
      <c r="A44" s="82" t="inlineStr">
        <is>
          <t>13</t>
        </is>
      </c>
      <c r="B44" s="83" t="inlineStr">
        <is>
          <t>Colaboración y trabajo en equipo.</t>
        </is>
      </c>
      <c r="C44" s="84" t="inlineStr">
        <is>
          <t>Completamente logrado</t>
        </is>
      </c>
      <c r="D44" s="82" t="n">
        <v>10</v>
      </c>
      <c r="E44" s="82" t="n">
        <v>10</v>
      </c>
      <c r="F44" s="83" t="inlineStr">
        <is>
          <t>Su paquete es el de mayor riesgo de cronograma; requiere reportar avance con más frecuencia que el resto.</t>
        </is>
      </c>
    </row>
    <row r="45">
      <c r="A45" s="89" t="n"/>
      <c r="B45" s="89" t="inlineStr">
        <is>
          <t>Subtotal</t>
        </is>
      </c>
      <c r="C45" s="89" t="n"/>
      <c r="D45" s="87" t="n">
        <v>30</v>
      </c>
      <c r="E45" s="87" t="n">
        <v>26</v>
      </c>
      <c r="F45" s="89" t="n"/>
    </row>
    <row r="48">
      <c r="A48" s="80" t="inlineStr">
        <is>
          <t>Lectura del ensayo y ajustes comprometidos</t>
        </is>
      </c>
    </row>
    <row r="49" ht="34" customHeight="1" s="76">
      <c r="A49" s="90" t="inlineStr">
        <is>
          <t>La sección grupal obtiene 52 de 70 puntos. Los cuatro indicadores de fundamentación y el de objetivos quedan completamente logrados porque el proyecto llega ya formulado y evaluado desde asignaturas anteriores.</t>
        </is>
      </c>
    </row>
    <row r="50" ht="34" customHeight="1" s="76">
      <c r="A50" s="90" t="inlineStr">
        <is>
          <t>Los seis indicadores que bajan a «Logrado» tienen una causa común: son trabajo de forma y de cierre que aún no se ejecuta —referencias con norma, estructura del informe técnico, evidencias acordadas con el docente y criterios de verificación de hitos—. Ninguno depende de resolver un problema técnico.</t>
        </is>
      </c>
    </row>
    <row r="51" ht="34" customHeight="1" s="76">
      <c r="A51" s="90" t="inlineStr">
        <is>
          <t>En la sección individual, el indicador 11 (exposición) queda en «Logrado» para los cuatro integrantes porque a la fecha del ensayo la presentación no estaba ensayada. Es el indicador con mayor recorrido posible antes de la Semana 4.</t>
        </is>
      </c>
    </row>
    <row r="52" ht="34" customHeight="1" s="76">
      <c r="A52" s="90" t="inlineStr">
        <is>
          <t>Ajuste 1 — Redactar el abstract bilingüe y los apartados en inglés (conclusiones y reflexión solo en inglés). Es el requisito con menos avance.</t>
        </is>
      </c>
    </row>
    <row r="53" ht="34" customHeight="1" s="76">
      <c r="A53" s="90" t="inlineStr">
        <is>
          <t>Ajuste 2 — Armar el informe técnico con el formato de la escuela e incorporar la bibliografía con norma de citación.</t>
        </is>
      </c>
    </row>
    <row r="54" ht="34" customHeight="1" s="76">
      <c r="A54" s="90" t="inlineStr">
        <is>
          <t>Ajuste 3 — Presentar la tabla de evidencias en la asesoría de la Semana 3 y dejar registro del acuerdo con el docente.</t>
        </is>
      </c>
    </row>
    <row r="55" ht="34" customHeight="1" s="76">
      <c r="A55" s="90" t="inlineStr">
        <is>
          <t>Ajuste 4 — Ensayar la presentación completa al menos dos veces con control de tiempo, usando el guion por expositor.</t>
        </is>
      </c>
    </row>
    <row r="56" ht="34" customHeight="1" s="76">
      <c r="A56" s="90" t="inlineStr">
        <is>
          <t>Ajuste 5 — Confirmar los roles del equipo y el criterio de aceptación con el que se cierra cada ciclo quincenal.</t>
        </is>
      </c>
    </row>
    <row r="57" ht="34" customHeight="1" s="76">
      <c r="A57" s="90" t="inlineStr">
        <is>
          <t>Observación sobre la planilla: el formato original trae tres bloques individuales y el equipo tiene cuatro integrantes. En la hoja EVALUACION1 se completaron los tres bloques disponibles; el cuarto integrante, Fernando Muñoz, está evaluado en esta hoja. Conviene avisar al docente para que agregue el bloque faltante.</t>
        </is>
      </c>
    </row>
  </sheetData>
  <mergeCells count="14">
    <mergeCell ref="A41:F41"/>
    <mergeCell ref="A54:F54"/>
    <mergeCell ref="A49:F49"/>
    <mergeCell ref="A51:F51"/>
    <mergeCell ref="A52:F52"/>
    <mergeCell ref="A23:F23"/>
    <mergeCell ref="A35:F35"/>
    <mergeCell ref="A4:F4"/>
    <mergeCell ref="A50:F50"/>
    <mergeCell ref="A56:F56"/>
    <mergeCell ref="A53:F53"/>
    <mergeCell ref="A55:F55"/>
    <mergeCell ref="A29:F29"/>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K59"/>
  <sheetViews>
    <sheetView workbookViewId="0">
      <selection activeCell="A1" sqref="A1"/>
    </sheetView>
  </sheetViews>
  <sheetFormatPr baseColWidth="8" defaultColWidth="14.43" defaultRowHeight="15" customHeight="1" outlineLevelRow="1"/>
  <cols>
    <col width="10.71" customWidth="1" style="76" min="1" max="1"/>
    <col width="66.86" customWidth="1" style="76" min="2" max="2"/>
    <col width="22" customWidth="1" style="76" min="3" max="3"/>
    <col width="11.29" customWidth="1" style="76" min="4" max="4"/>
    <col width="11.71" customWidth="1" style="76" min="5" max="7"/>
    <col width="7.71" customWidth="1" style="76" min="8" max="8"/>
    <col width="11.71" customWidth="1" style="76" min="9" max="9"/>
    <col width="7.71" customWidth="1" style="76" min="10" max="10"/>
    <col width="11.71" customWidth="1" style="76" min="11" max="11"/>
  </cols>
  <sheetData>
    <row r="2">
      <c r="C2" s="2" t="n">
        <v>0.75</v>
      </c>
      <c r="D2" s="2" t="n">
        <v>0.25</v>
      </c>
      <c r="E2" s="91" t="n">
        <v>1</v>
      </c>
    </row>
    <row r="3">
      <c r="B3" s="7" t="inlineStr">
        <is>
          <t>INTEGRANTES</t>
        </is>
      </c>
      <c r="C3" s="9" t="inlineStr">
        <is>
          <t xml:space="preserve">IEP o IEE: </t>
        </is>
      </c>
      <c r="D3" s="2" t="inlineStr">
        <is>
          <t>EMPLEAB</t>
        </is>
      </c>
      <c r="E3" s="92" t="n"/>
    </row>
    <row r="4">
      <c r="A4" s="12" t="n">
        <v>1</v>
      </c>
      <c r="B4" s="14" t="inlineStr">
        <is>
          <t>Iahn Vera</t>
        </is>
      </c>
      <c r="C4" s="17">
        <f>EVALUACION1!$C$24</f>
        <v/>
      </c>
      <c r="D4" s="17">
        <f>$C$35</f>
        <v/>
      </c>
      <c r="E4" s="21">
        <f>C4*C$2+D4*D$2</f>
        <v/>
      </c>
      <c r="G4" s="6" t="n"/>
    </row>
    <row r="5">
      <c r="A5" s="12" t="n">
        <v>2</v>
      </c>
      <c r="B5" s="14" t="inlineStr">
        <is>
          <t>Joaquín Armijo</t>
        </is>
      </c>
      <c r="C5" s="17">
        <f>EVALUACION1!$C$24</f>
        <v/>
      </c>
      <c r="D5" s="17">
        <f>C47</f>
        <v/>
      </c>
      <c r="E5" s="21">
        <f>C5*C$2+D5*D$2</f>
        <v/>
      </c>
      <c r="G5" s="6" t="n"/>
    </row>
    <row r="6">
      <c r="A6" s="12" t="n">
        <v>3</v>
      </c>
      <c r="B6" s="14" t="inlineStr">
        <is>
          <t>Benjamín Cáceres</t>
        </is>
      </c>
      <c r="C6" s="17">
        <f>EVALUACION1!$C$24</f>
        <v/>
      </c>
      <c r="D6" s="17">
        <f>C58</f>
        <v/>
      </c>
      <c r="E6" s="21">
        <f>C6*C$2+D6*D$2</f>
        <v/>
      </c>
      <c r="G6" s="6" t="n"/>
    </row>
    <row r="11" outlineLevel="1" s="76">
      <c r="A11" s="93" t="inlineStr">
        <is>
          <t>GRUPAL</t>
        </is>
      </c>
      <c r="B11" s="31" t="n"/>
      <c r="C11" s="70" t="inlineStr">
        <is>
          <t>Nivel de Logro</t>
        </is>
      </c>
      <c r="D11" s="70" t="inlineStr">
        <is>
          <t>NIVELES DE LOGRO Y PUNTAJES</t>
        </is>
      </c>
      <c r="E11" s="94" t="n"/>
      <c r="F11" s="94" t="n"/>
      <c r="G11" s="94" t="n"/>
      <c r="H11" s="94" t="n"/>
      <c r="I11" s="94" t="n"/>
      <c r="J11" s="94" t="n"/>
      <c r="K11" s="95" t="n"/>
    </row>
    <row r="12" outlineLevel="1" s="76">
      <c r="A12" s="96" t="n"/>
      <c r="B12" s="38" t="inlineStr">
        <is>
          <t>Aspectos a Evaluar</t>
        </is>
      </c>
      <c r="C12" s="92" t="n"/>
      <c r="D12" s="70" t="inlineStr">
        <is>
          <t>Completamente logrado</t>
        </is>
      </c>
      <c r="E12" s="95" t="n"/>
      <c r="F12" s="70" t="inlineStr">
        <is>
          <t>Logrado</t>
        </is>
      </c>
      <c r="G12" s="95" t="n"/>
      <c r="H12" s="70" t="inlineStr">
        <is>
          <t>Logro Incipiente</t>
        </is>
      </c>
      <c r="I12" s="95" t="n"/>
      <c r="J12" s="70" t="inlineStr">
        <is>
          <t>No logrado</t>
        </is>
      </c>
      <c r="K12" s="95" t="n"/>
    </row>
    <row r="13" outlineLevel="1" s="76">
      <c r="A13" s="96" t="n"/>
      <c r="B13" s="42">
        <f>RUBRICA!A5</f>
        <v/>
      </c>
      <c r="C13" s="44" t="inlineStr">
        <is>
          <t>Completamente logrado</t>
        </is>
      </c>
      <c r="D13" s="46">
        <f>IF($C13=CL,"X","")</f>
        <v/>
      </c>
      <c r="E13" s="46">
        <f>IF(D13="X",100*0.1,"")</f>
        <v/>
      </c>
      <c r="F13" s="46">
        <f>IF($C13=L,"X","")</f>
        <v/>
      </c>
      <c r="G13" s="46">
        <f>IF(F13="X",60*0.1,"")</f>
        <v/>
      </c>
      <c r="H13" s="46">
        <f>IF($C13=ML,"X","")</f>
        <v/>
      </c>
      <c r="I13" s="46">
        <f>IF(H13="X",30*0.1,"")</f>
        <v/>
      </c>
      <c r="J13" s="46">
        <f>IF($C13=NL,"X","")</f>
        <v/>
      </c>
      <c r="K13" s="46">
        <f>IF($J13="X",0,"")</f>
        <v/>
      </c>
    </row>
    <row r="14" outlineLevel="1" ht="26.25" customHeight="1" s="76">
      <c r="A14" s="96" t="n"/>
      <c r="B14" s="42">
        <f>RUBRICA!A6</f>
        <v/>
      </c>
      <c r="C14" s="44" t="inlineStr">
        <is>
          <t>Completamente logrado</t>
        </is>
      </c>
      <c r="D14" s="46">
        <f>IF($C14=CL,"X","")</f>
        <v/>
      </c>
      <c r="E14" s="46">
        <f>IF(D14="X",100*0.05,"")</f>
        <v/>
      </c>
      <c r="F14" s="46">
        <f>IF($C14=L,"X","")</f>
        <v/>
      </c>
      <c r="G14" s="46">
        <f>IF(F14="X",60*0.05,"")</f>
        <v/>
      </c>
      <c r="H14" s="46">
        <f>IF($C14=ML,"X","")</f>
        <v/>
      </c>
      <c r="I14" s="46">
        <f>IF(H14="X",30*0.05,"")</f>
        <v/>
      </c>
      <c r="J14" s="46">
        <f>IF($C14=NL,"X","")</f>
        <v/>
      </c>
      <c r="K14" s="46">
        <f>IF($J14="X",0,"")</f>
        <v/>
      </c>
    </row>
    <row r="15" outlineLevel="1" s="76">
      <c r="A15" s="96" t="n"/>
      <c r="B15" s="42">
        <f>RUBRICA!A8</f>
        <v/>
      </c>
      <c r="C15" s="44" t="inlineStr">
        <is>
          <t>Completamente logrado</t>
        </is>
      </c>
      <c r="D15" s="46">
        <f>IF($C15=CL,"X","")</f>
        <v/>
      </c>
      <c r="E15" s="46">
        <f>IF(D15="X",100*0.05,"")</f>
        <v/>
      </c>
      <c r="F15" s="46">
        <f>IF($C15=L,"X","")</f>
        <v/>
      </c>
      <c r="G15" s="46">
        <f>IF(F15="X",60*0.05,"")</f>
        <v/>
      </c>
      <c r="H15" s="46">
        <f>IF($C15=ML,"X","")</f>
        <v/>
      </c>
      <c r="I15" s="46">
        <f>IF(H15="X",30*0.05,"")</f>
        <v/>
      </c>
      <c r="J15" s="46">
        <f>IF($C15=NL,"X","")</f>
        <v/>
      </c>
      <c r="K15" s="46">
        <f>IF($J15="X",0,"")</f>
        <v/>
      </c>
    </row>
    <row r="16" outlineLevel="1" s="76">
      <c r="A16" s="96" t="n"/>
      <c r="B16" s="42">
        <f>RUBRICA!A9</f>
        <v/>
      </c>
      <c r="C16" s="44" t="inlineStr">
        <is>
          <t>Completamente logrado</t>
        </is>
      </c>
      <c r="D16" s="46">
        <f>IF($C16=CL,"X","")</f>
        <v/>
      </c>
      <c r="E16" s="46">
        <f>IF(D16="X",100*0.05,"")</f>
        <v/>
      </c>
      <c r="F16" s="46">
        <f>IF($C16=L,"X","")</f>
        <v/>
      </c>
      <c r="G16" s="46">
        <f>IF(F16="X",60*0.05,"")</f>
        <v/>
      </c>
      <c r="H16" s="46">
        <f>IF($C16=ML,"X","")</f>
        <v/>
      </c>
      <c r="I16" s="46">
        <f>IF(H16="X",30*0.05,"")</f>
        <v/>
      </c>
      <c r="J16" s="46">
        <f>IF($C16=NL,"X","")</f>
        <v/>
      </c>
      <c r="K16" s="46">
        <f>IF($J16="X",0,"")</f>
        <v/>
      </c>
    </row>
    <row r="17" outlineLevel="1" s="76">
      <c r="A17" s="96" t="n"/>
      <c r="B17" s="42">
        <f>RUBRICA!A10</f>
        <v/>
      </c>
      <c r="C17" s="44" t="inlineStr">
        <is>
          <t>Logrado</t>
        </is>
      </c>
      <c r="D17" s="46">
        <f>IF($C17=CL,"X","")</f>
        <v/>
      </c>
      <c r="E17" s="46">
        <f>IF(D17="X",100*0.1,"")</f>
        <v/>
      </c>
      <c r="F17" s="46">
        <f>IF($C17=L,"X","")</f>
        <v/>
      </c>
      <c r="G17" s="46">
        <f>IF(F17="X",60*0.1,"")</f>
        <v/>
      </c>
      <c r="H17" s="46">
        <f>IF($C17=ML,"X","")</f>
        <v/>
      </c>
      <c r="I17" s="46">
        <f>IF(H17="X",30*0.1,"")</f>
        <v/>
      </c>
      <c r="J17" s="46">
        <f>IF($C17=NL,"X","")</f>
        <v/>
      </c>
      <c r="K17" s="46">
        <f>IF($J17="X",0,"")</f>
        <v/>
      </c>
    </row>
    <row r="18" outlineLevel="1" s="76">
      <c r="A18" s="96" t="n"/>
      <c r="B18" s="42">
        <f>RUBRICA!A11</f>
        <v/>
      </c>
      <c r="C18" s="44" t="inlineStr">
        <is>
          <t>Logrado</t>
        </is>
      </c>
      <c r="D18" s="46">
        <f>IF($C18=CL,"X","")</f>
        <v/>
      </c>
      <c r="E18" s="46">
        <f>IF(D18="X",100*0.1,"")</f>
        <v/>
      </c>
      <c r="F18" s="46">
        <f>IF($C18=L,"X","")</f>
        <v/>
      </c>
      <c r="G18" s="46">
        <f>IF(F18="X",60*0.1,"")</f>
        <v/>
      </c>
      <c r="H18" s="46">
        <f>IF($C18=ML,"X","")</f>
        <v/>
      </c>
      <c r="I18" s="46">
        <f>IF(H18="X",30*0.1,"")</f>
        <v/>
      </c>
      <c r="J18" s="46">
        <f>IF($C18=NL,"X","")</f>
        <v/>
      </c>
      <c r="K18" s="46">
        <f>IF($J18="X",0,"")</f>
        <v/>
      </c>
    </row>
    <row r="19" outlineLevel="1" s="76">
      <c r="A19" s="96" t="n"/>
      <c r="B19" s="42">
        <f>RUBRICA!A12</f>
        <v/>
      </c>
      <c r="C19" s="44" t="inlineStr">
        <is>
          <t>Logrado</t>
        </is>
      </c>
      <c r="D19" s="46">
        <f>IF($C19=CL,"X","")</f>
        <v/>
      </c>
      <c r="E19" s="46">
        <f>IF(D19="X",100*0.05,"")</f>
        <v/>
      </c>
      <c r="F19" s="46">
        <f>IF($C19=L,"X","")</f>
        <v/>
      </c>
      <c r="G19" s="46">
        <f>IF(F19="X",60*0.05,"")</f>
        <v/>
      </c>
      <c r="H19" s="46">
        <f>IF($C19=ML,"X","")</f>
        <v/>
      </c>
      <c r="I19" s="46">
        <f>IF(H19="X",30*0.05,"")</f>
        <v/>
      </c>
      <c r="J19" s="46">
        <f>IF($C19=NL,"X","")</f>
        <v/>
      </c>
      <c r="K19" s="46">
        <f>IF($J19="X",0,"")</f>
        <v/>
      </c>
    </row>
    <row r="20" outlineLevel="1" s="76">
      <c r="A20" s="96" t="n"/>
      <c r="B20" s="42">
        <f>RUBRICA!A13</f>
        <v/>
      </c>
      <c r="C20" s="44" t="inlineStr">
        <is>
          <t>Logrado</t>
        </is>
      </c>
      <c r="D20" s="46">
        <f>IF($C20=CL,"X","")</f>
        <v/>
      </c>
      <c r="E20" s="46">
        <f>IF(D20="X",100*0.05,"")</f>
        <v/>
      </c>
      <c r="F20" s="46">
        <f>IF($C20=L,"X","")</f>
        <v/>
      </c>
      <c r="G20" s="46">
        <f>IF(F20="X",60*0.05,"")</f>
        <v/>
      </c>
      <c r="H20" s="46">
        <f>IF($C20=ML,"X","")</f>
        <v/>
      </c>
      <c r="I20" s="46">
        <f>IF(H20="X",30*0.05,"")</f>
        <v/>
      </c>
      <c r="J20" s="46">
        <f>IF($C20=NL,"X","")</f>
        <v/>
      </c>
      <c r="K20" s="46">
        <f>IF($J20="X",0,"")</f>
        <v/>
      </c>
    </row>
    <row r="21" outlineLevel="1" ht="22.5" customHeight="1" s="76">
      <c r="A21" s="96" t="n"/>
      <c r="B21" s="42">
        <f>RUBRICA!A14</f>
        <v/>
      </c>
      <c r="C21" s="44" t="inlineStr">
        <is>
          <t>Logrado</t>
        </is>
      </c>
      <c r="D21" s="46">
        <f>IF($C21=CL,"X","")</f>
        <v/>
      </c>
      <c r="E21" s="46">
        <f>IF(D21="X",100*0.05,"")</f>
        <v/>
      </c>
      <c r="F21" s="46">
        <f>IF($C21=L,"X","")</f>
        <v/>
      </c>
      <c r="G21" s="46">
        <f>IF(F21="X",60*0.05,"")</f>
        <v/>
      </c>
      <c r="H21" s="46">
        <f>IF($C21=ML,"X","")</f>
        <v/>
      </c>
      <c r="I21" s="46">
        <f>IF(H21="X",30*0.05,"")</f>
        <v/>
      </c>
      <c r="J21" s="46">
        <f>IF($C21=NL,"X","")</f>
        <v/>
      </c>
      <c r="K21" s="46">
        <f>IF($J21="X",0,"")</f>
        <v/>
      </c>
    </row>
    <row r="22" outlineLevel="1" ht="15.75" customHeight="1" s="76">
      <c r="A22" s="96" t="n"/>
      <c r="B22" s="42">
        <f>RUBRICA!A16</f>
        <v/>
      </c>
      <c r="C22" s="44" t="inlineStr">
        <is>
          <t>Logrado</t>
        </is>
      </c>
      <c r="D22" s="46">
        <f>IF($C22=CL,"X","")</f>
        <v/>
      </c>
      <c r="E22" s="46">
        <f>IF(D22="X",100*0.1,"")</f>
        <v/>
      </c>
      <c r="F22" s="46">
        <f>IF($C22=L,"X","")</f>
        <v/>
      </c>
      <c r="G22" s="46">
        <f>IF(F22="X",60*0.1,"")</f>
        <v/>
      </c>
      <c r="H22" s="46">
        <f>IF($C22=ML,"X","")</f>
        <v/>
      </c>
      <c r="I22" s="46">
        <f>IF(H22="X",30*0.1,"")</f>
        <v/>
      </c>
      <c r="J22" s="46">
        <f>IF($C22=NL,"X","")</f>
        <v/>
      </c>
      <c r="K22" s="46">
        <f>IF($J22="X",0,"")</f>
        <v/>
      </c>
    </row>
    <row r="23" outlineLevel="1" ht="15.75" customHeight="1" s="76">
      <c r="A23" s="96" t="n"/>
      <c r="B23" s="57" t="inlineStr">
        <is>
          <t>Puntaje</t>
        </is>
      </c>
      <c r="C23" s="58">
        <f>E23+G23+I23+K23</f>
        <v/>
      </c>
      <c r="D23" s="59" t="n"/>
      <c r="E23" s="59">
        <f>SUM(E13:E22)</f>
        <v/>
      </c>
      <c r="F23" s="59" t="n"/>
      <c r="G23" s="59">
        <f>SUM(G13:G22)</f>
        <v/>
      </c>
      <c r="H23" s="59" t="n"/>
      <c r="I23" s="59">
        <f>SUM(I13:I22)</f>
        <v/>
      </c>
      <c r="J23" s="59" t="n"/>
      <c r="K23" s="59">
        <f>SUM(K13:K22)</f>
        <v/>
      </c>
    </row>
    <row r="24" outlineLevel="1" ht="15.75" customHeight="1" s="76">
      <c r="A24" s="92" t="n"/>
      <c r="B24" s="60" t="inlineStr">
        <is>
          <t>Nota</t>
        </is>
      </c>
      <c r="C24" s="61">
        <f>VLOOKUP(C23,ESCALA_IEP!A2:B142,2,FALSE)</f>
        <v/>
      </c>
    </row>
    <row r="25" ht="15.75" customHeight="1" s="76"/>
    <row r="26" ht="15.75" customHeight="1" s="76"/>
    <row r="27" ht="15.75" customHeight="1" s="76">
      <c r="A27" s="97" t="inlineStr">
        <is>
          <t>INDIVIDUAL</t>
        </is>
      </c>
      <c r="B27" s="98" t="inlineStr">
        <is>
          <t>NOMBRE ALUMNO</t>
        </is>
      </c>
      <c r="C27" s="99">
        <f>$B$4</f>
        <v/>
      </c>
      <c r="D27" s="100" t="n"/>
      <c r="E27" s="100" t="n"/>
      <c r="F27" s="100" t="n"/>
      <c r="G27" s="100" t="n"/>
      <c r="H27" s="100" t="n"/>
      <c r="I27" s="100" t="n"/>
      <c r="J27" s="100" t="n"/>
      <c r="K27" s="101" t="n"/>
    </row>
    <row r="28" ht="15.75" customHeight="1" s="76">
      <c r="A28" s="96" t="n"/>
      <c r="B28" s="92" t="n"/>
      <c r="C28" s="102" t="n"/>
      <c r="D28" s="103" t="n"/>
      <c r="E28" s="103" t="n"/>
      <c r="F28" s="103" t="n"/>
      <c r="G28" s="103" t="n"/>
      <c r="H28" s="103" t="n"/>
      <c r="I28" s="103" t="n"/>
      <c r="J28" s="103" t="n"/>
      <c r="K28" s="104" t="n"/>
    </row>
    <row r="29" ht="15.75" customHeight="1" s="76">
      <c r="A29" s="96" t="n"/>
      <c r="B29" s="31" t="inlineStr">
        <is>
          <t>Capacidad de Trabajo en Equipo</t>
        </is>
      </c>
      <c r="C29" s="70" t="inlineStr">
        <is>
          <t>Nivel de Logro</t>
        </is>
      </c>
      <c r="D29" s="70" t="inlineStr">
        <is>
          <t>NIVELES DE LOGRO Y PUNTAJES</t>
        </is>
      </c>
      <c r="E29" s="94" t="n"/>
      <c r="F29" s="94" t="n"/>
      <c r="G29" s="94" t="n"/>
      <c r="H29" s="94" t="n"/>
      <c r="I29" s="94" t="n"/>
      <c r="J29" s="94" t="n"/>
      <c r="K29" s="95" t="n"/>
    </row>
    <row r="30" ht="15.75" customHeight="1" s="76">
      <c r="A30" s="96" t="n"/>
      <c r="B30" s="70" t="inlineStr">
        <is>
          <t>Aspectos a Evaluar</t>
        </is>
      </c>
      <c r="C30" s="92" t="n"/>
      <c r="D30" s="70" t="inlineStr">
        <is>
          <t>Completamente logrado</t>
        </is>
      </c>
      <c r="E30" s="95" t="n"/>
      <c r="F30" s="70" t="inlineStr">
        <is>
          <t>Logrado</t>
        </is>
      </c>
      <c r="G30" s="95" t="n"/>
      <c r="H30" s="70" t="inlineStr">
        <is>
          <t>Medianamente logrado</t>
        </is>
      </c>
      <c r="I30" s="95" t="n"/>
      <c r="J30" s="70" t="inlineStr">
        <is>
          <t>No logrado</t>
        </is>
      </c>
      <c r="K30" s="95" t="n"/>
    </row>
    <row r="31" ht="24" customHeight="1" s="76">
      <c r="A31" s="96" t="n"/>
      <c r="B31" s="42">
        <f>RUBRICA!A7</f>
        <v/>
      </c>
      <c r="C31" s="44" t="inlineStr">
        <is>
          <t>Completamente logrado</t>
        </is>
      </c>
      <c r="D31" s="46">
        <f>IF($C31=CL,"X","")</f>
        <v/>
      </c>
      <c r="E31" s="46">
        <f>IF(D31="X",100*0.1,"")</f>
        <v/>
      </c>
      <c r="F31" s="46">
        <f>IF($C31=L,"X","")</f>
        <v/>
      </c>
      <c r="G31" s="46">
        <f>IF(F31="X",60*0.1,"")</f>
        <v/>
      </c>
      <c r="H31" s="46">
        <f>IF($C31=ML,"X","")</f>
        <v/>
      </c>
      <c r="I31" s="46">
        <f>IF(H31="X",30*0.1,"")</f>
        <v/>
      </c>
      <c r="J31" s="46">
        <f>IF($C31=NL,"X","")</f>
        <v/>
      </c>
      <c r="K31" s="46">
        <f>IF($J31="X",0,"")</f>
        <v/>
      </c>
    </row>
    <row r="32" ht="25.5" customHeight="1" s="76">
      <c r="A32" s="96" t="n"/>
      <c r="B32" s="42">
        <f>RUBRICA!A15</f>
        <v/>
      </c>
      <c r="C32" s="44" t="inlineStr">
        <is>
          <t>Logrado</t>
        </is>
      </c>
      <c r="D32" s="46">
        <f>IF($C32=CL,"X","")</f>
        <v/>
      </c>
      <c r="E32" s="46">
        <f>IF(D32="X",100*0.1,"")</f>
        <v/>
      </c>
      <c r="F32" s="46">
        <f>IF($C32=L,"X","")</f>
        <v/>
      </c>
      <c r="G32" s="46">
        <f>IF(F32="X",60*0.1,"")</f>
        <v/>
      </c>
      <c r="H32" s="46">
        <f>IF($C32=ML,"X","")</f>
        <v/>
      </c>
      <c r="I32" s="46">
        <f>IF(H32="X",30*0.1,"")</f>
        <v/>
      </c>
      <c r="J32" s="46">
        <f>IF($C32=NL,"X","")</f>
        <v/>
      </c>
      <c r="K32" s="46">
        <f>IF($J32="X",0,"")</f>
        <v/>
      </c>
    </row>
    <row r="33" ht="15.75" customHeight="1" s="76">
      <c r="A33" s="96" t="n"/>
      <c r="B33" s="42">
        <f>RUBRICA!A17</f>
        <v/>
      </c>
      <c r="C33" s="44" t="inlineStr">
        <is>
          <t>Completamente logrado</t>
        </is>
      </c>
      <c r="D33" s="46">
        <f>IF($C33=CL,"X","")</f>
        <v/>
      </c>
      <c r="E33" s="46">
        <f>IF(D33="X",100*0.1,"")</f>
        <v/>
      </c>
      <c r="F33" s="46">
        <f>IF($C33=L,"X","")</f>
        <v/>
      </c>
      <c r="G33" s="46">
        <f>IF(F33="X",60*0.1,"")</f>
        <v/>
      </c>
      <c r="H33" s="46">
        <f>IF($C33=ML,"X","")</f>
        <v/>
      </c>
      <c r="I33" s="46">
        <f>IF(H33="X",30*0.1,"")</f>
        <v/>
      </c>
      <c r="J33" s="46">
        <f>IF($C33=NL,"X","")</f>
        <v/>
      </c>
      <c r="K33" s="46">
        <f>IF($J33="X",0,"")</f>
        <v/>
      </c>
    </row>
    <row r="34" ht="15.75" customHeight="1" s="76">
      <c r="A34" s="96" t="n"/>
      <c r="B34" s="71" t="inlineStr">
        <is>
          <t>PUNTAJE</t>
        </is>
      </c>
      <c r="C34" s="72">
        <f>E34+G34+I34+K34</f>
        <v/>
      </c>
      <c r="D34" s="59" t="n"/>
      <c r="E34" s="59">
        <f>SUM(E31:E33)</f>
        <v/>
      </c>
      <c r="F34" s="59" t="n"/>
      <c r="G34" s="59">
        <f>SUM(G31:G33)</f>
        <v/>
      </c>
      <c r="H34" s="59" t="n"/>
      <c r="I34" s="59">
        <f>SUM(I31:I33)</f>
        <v/>
      </c>
      <c r="J34" s="59" t="n"/>
      <c r="K34" s="59">
        <f>SUM(K31:K33)</f>
        <v/>
      </c>
    </row>
    <row r="35" ht="15.75" customHeight="1" s="76">
      <c r="A35" s="92" t="n"/>
      <c r="B35" s="73" t="inlineStr">
        <is>
          <t>Nota</t>
        </is>
      </c>
      <c r="C35" s="61">
        <f>VLOOKUP(C34,ESCALA_TRAB_EQUIP!A2:B62,2,FALSE)</f>
        <v/>
      </c>
    </row>
    <row r="36" ht="15.75" customHeight="1" s="76">
      <c r="B36" s="74" t="n"/>
      <c r="C36" s="75" t="n"/>
    </row>
    <row r="37" ht="15.75" customHeight="1" s="76">
      <c r="B37" s="74" t="n"/>
      <c r="C37" s="75" t="n"/>
    </row>
    <row r="38" ht="15.75" customHeight="1" s="76"/>
    <row r="39" ht="15.75" customHeight="1" s="76">
      <c r="A39" s="97" t="inlineStr">
        <is>
          <t>INDIVIDUAL</t>
        </is>
      </c>
      <c r="B39" s="98" t="inlineStr">
        <is>
          <t>NOMBRE ALUMNO</t>
        </is>
      </c>
      <c r="C39" s="99">
        <f>B5</f>
        <v/>
      </c>
      <c r="D39" s="100" t="n"/>
      <c r="E39" s="100" t="n"/>
      <c r="F39" s="100" t="n"/>
      <c r="G39" s="100" t="n"/>
      <c r="H39" s="100" t="n"/>
      <c r="I39" s="100" t="n"/>
      <c r="J39" s="100" t="n"/>
      <c r="K39" s="101" t="n"/>
    </row>
    <row r="40" ht="15.75" customHeight="1" s="76">
      <c r="A40" s="96" t="n"/>
      <c r="B40" s="92" t="n"/>
      <c r="C40" s="102" t="n"/>
      <c r="D40" s="103" t="n"/>
      <c r="E40" s="103" t="n"/>
      <c r="F40" s="103" t="n"/>
      <c r="G40" s="103" t="n"/>
      <c r="H40" s="103" t="n"/>
      <c r="I40" s="103" t="n"/>
      <c r="J40" s="103" t="n"/>
      <c r="K40" s="104" t="n"/>
    </row>
    <row r="41" ht="15.75" customHeight="1" s="76">
      <c r="A41" s="96" t="n"/>
      <c r="B41" s="31" t="inlineStr">
        <is>
          <t>Capacidad de Trabajo en Equipo</t>
        </is>
      </c>
      <c r="C41" s="70" t="inlineStr">
        <is>
          <t>Nivel de Logro</t>
        </is>
      </c>
      <c r="D41" s="70" t="inlineStr">
        <is>
          <t>NIVELES DE LOGRO Y PUNTAJES</t>
        </is>
      </c>
      <c r="E41" s="94" t="n"/>
      <c r="F41" s="94" t="n"/>
      <c r="G41" s="94" t="n"/>
      <c r="H41" s="94" t="n"/>
      <c r="I41" s="94" t="n"/>
      <c r="J41" s="94" t="n"/>
      <c r="K41" s="95" t="n"/>
    </row>
    <row r="42" ht="15.75" customHeight="1" s="76">
      <c r="A42" s="96" t="n"/>
      <c r="B42" s="70" t="inlineStr">
        <is>
          <t>Aspectos a Evaluar</t>
        </is>
      </c>
      <c r="C42" s="92" t="n"/>
      <c r="D42" s="70" t="inlineStr">
        <is>
          <t>Completamente logrado</t>
        </is>
      </c>
      <c r="E42" s="95" t="n"/>
      <c r="F42" s="70" t="inlineStr">
        <is>
          <t>Logrado</t>
        </is>
      </c>
      <c r="G42" s="95" t="n"/>
      <c r="H42" s="70" t="inlineStr">
        <is>
          <t>Medianamente logrado</t>
        </is>
      </c>
      <c r="I42" s="95" t="n"/>
      <c r="J42" s="70" t="inlineStr">
        <is>
          <t>No logrado</t>
        </is>
      </c>
      <c r="K42" s="95" t="n"/>
    </row>
    <row r="43" ht="25.5" customHeight="1" s="76">
      <c r="A43" s="96" t="n"/>
      <c r="B43" s="42">
        <f>RUBRICA!A7</f>
        <v/>
      </c>
      <c r="C43" s="44" t="inlineStr">
        <is>
          <t>Completamente logrado</t>
        </is>
      </c>
      <c r="D43" s="46">
        <f>IF($C43=CL,"X","")</f>
        <v/>
      </c>
      <c r="E43" s="46">
        <f>IF(D43="X",100*0.1,"")</f>
        <v/>
      </c>
      <c r="F43" s="46">
        <f>IF($C43=L,"X","")</f>
        <v/>
      </c>
      <c r="G43" s="46">
        <f>IF(F43="X",60*0.1,"")</f>
        <v/>
      </c>
      <c r="H43" s="46">
        <f>IF($C43=ML,"X","")</f>
        <v/>
      </c>
      <c r="I43" s="46">
        <f>IF(H43="X",30*0.1,"")</f>
        <v/>
      </c>
      <c r="J43" s="46">
        <f>IF($C43=NL,"X","")</f>
        <v/>
      </c>
      <c r="K43" s="46">
        <f>IF($J43="X",0,"")</f>
        <v/>
      </c>
    </row>
    <row r="44" ht="15.75" customHeight="1" s="76">
      <c r="A44" s="96" t="n"/>
      <c r="B44" s="42">
        <f>RUBRICA!A15</f>
        <v/>
      </c>
      <c r="C44" s="44" t="inlineStr">
        <is>
          <t>Logrado</t>
        </is>
      </c>
      <c r="D44" s="46">
        <f>IF($C44=CL,"X","")</f>
        <v/>
      </c>
      <c r="E44" s="46">
        <f>IF(D44="X",100*0.1,"")</f>
        <v/>
      </c>
      <c r="F44" s="46">
        <f>IF($C44=L,"X","")</f>
        <v/>
      </c>
      <c r="G44" s="46">
        <f>IF(F44="X",60*0.1,"")</f>
        <v/>
      </c>
      <c r="H44" s="46">
        <f>IF($C44=ML,"X","")</f>
        <v/>
      </c>
      <c r="I44" s="46">
        <f>IF(H44="X",30*0.1,"")</f>
        <v/>
      </c>
      <c r="J44" s="46">
        <f>IF($C44=NL,"X","")</f>
        <v/>
      </c>
      <c r="K44" s="46">
        <f>IF($J44="X",0,"")</f>
        <v/>
      </c>
    </row>
    <row r="45" ht="15.75" customHeight="1" s="76">
      <c r="A45" s="96" t="n"/>
      <c r="B45" s="42">
        <f>RUBRICA!A17</f>
        <v/>
      </c>
      <c r="C45" s="44" t="inlineStr">
        <is>
          <t>Completamente logrado</t>
        </is>
      </c>
      <c r="D45" s="46">
        <f>IF($C45=CL,"X","")</f>
        <v/>
      </c>
      <c r="E45" s="46">
        <f>IF(D45="X",100*0.1,"")</f>
        <v/>
      </c>
      <c r="F45" s="46">
        <f>IF($C45=L,"X","")</f>
        <v/>
      </c>
      <c r="G45" s="46">
        <f>IF(F45="X",60*0.1,"")</f>
        <v/>
      </c>
      <c r="H45" s="46">
        <f>IF($C45=ML,"X","")</f>
        <v/>
      </c>
      <c r="I45" s="46">
        <f>IF(H45="X",30*0.1,"")</f>
        <v/>
      </c>
      <c r="J45" s="46">
        <f>IF($C45=NL,"X","")</f>
        <v/>
      </c>
      <c r="K45" s="46">
        <f>IF($J45="X",0,"")</f>
        <v/>
      </c>
    </row>
    <row r="46" ht="15.75" customHeight="1" s="76">
      <c r="A46" s="96" t="n"/>
      <c r="B46" s="71" t="inlineStr">
        <is>
          <t>PUNTAJE</t>
        </is>
      </c>
      <c r="C46" s="72">
        <f>E46+G46+I46+K46</f>
        <v/>
      </c>
      <c r="D46" s="59" t="n"/>
      <c r="E46" s="59">
        <f>SUM(E43:E45)</f>
        <v/>
      </c>
      <c r="F46" s="59" t="n"/>
      <c r="G46" s="59">
        <f>SUM(G43:G45)</f>
        <v/>
      </c>
      <c r="H46" s="59" t="n"/>
      <c r="I46" s="59">
        <f>SUM(I43:I45)</f>
        <v/>
      </c>
      <c r="J46" s="59" t="n"/>
      <c r="K46" s="59">
        <f>SUM(K43:K45)</f>
        <v/>
      </c>
    </row>
    <row r="47" ht="15.75" customHeight="1" s="76">
      <c r="A47" s="92" t="n"/>
      <c r="B47" s="73" t="inlineStr">
        <is>
          <t>Nota</t>
        </is>
      </c>
      <c r="C47" s="61">
        <f>VLOOKUP(C46,ESCALA_TRAB_EQUIP!A2:B62,2,FALSE)</f>
        <v/>
      </c>
    </row>
    <row r="48" ht="15.75" customHeight="1" s="76">
      <c r="B48" s="74" t="n"/>
      <c r="C48" s="75" t="n"/>
    </row>
    <row r="49" ht="15.75" customHeight="1" s="76">
      <c r="B49" s="74" t="n"/>
      <c r="C49" s="75" t="n"/>
    </row>
    <row r="50" ht="15.75" customHeight="1" s="76">
      <c r="A50" s="97" t="inlineStr">
        <is>
          <t>INDIVIDUAL</t>
        </is>
      </c>
      <c r="B50" s="98" t="inlineStr">
        <is>
          <t>NOMBRE ALUMNO</t>
        </is>
      </c>
      <c r="C50" s="99">
        <f>B6</f>
        <v/>
      </c>
      <c r="D50" s="100" t="n"/>
      <c r="E50" s="100" t="n"/>
      <c r="F50" s="100" t="n"/>
      <c r="G50" s="100" t="n"/>
      <c r="H50" s="100" t="n"/>
      <c r="I50" s="100" t="n"/>
      <c r="J50" s="100" t="n"/>
      <c r="K50" s="101" t="n"/>
    </row>
    <row r="51" ht="15.75" customHeight="1" s="76">
      <c r="A51" s="96" t="n"/>
      <c r="B51" s="92" t="n"/>
      <c r="C51" s="102" t="n"/>
      <c r="D51" s="103" t="n"/>
      <c r="E51" s="103" t="n"/>
      <c r="F51" s="103" t="n"/>
      <c r="G51" s="103" t="n"/>
      <c r="H51" s="103" t="n"/>
      <c r="I51" s="103" t="n"/>
      <c r="J51" s="103" t="n"/>
      <c r="K51" s="104" t="n"/>
    </row>
    <row r="52" ht="15.75" customHeight="1" s="76">
      <c r="A52" s="96" t="n"/>
      <c r="B52" s="31" t="inlineStr">
        <is>
          <t>Capacidad de Trabajo en Equipo</t>
        </is>
      </c>
      <c r="C52" s="70" t="inlineStr">
        <is>
          <t>Nivel de Logro</t>
        </is>
      </c>
      <c r="D52" s="70" t="inlineStr">
        <is>
          <t>NIVELES DE LOGRO Y PUNTAJES</t>
        </is>
      </c>
      <c r="E52" s="94" t="n"/>
      <c r="F52" s="94" t="n"/>
      <c r="G52" s="94" t="n"/>
      <c r="H52" s="94" t="n"/>
      <c r="I52" s="94" t="n"/>
      <c r="J52" s="94" t="n"/>
      <c r="K52" s="95" t="n"/>
    </row>
    <row r="53" ht="15.75" customHeight="1" s="76">
      <c r="A53" s="96" t="n"/>
      <c r="B53" s="70" t="inlineStr">
        <is>
          <t>Aspectos a Evaluar</t>
        </is>
      </c>
      <c r="C53" s="92" t="n"/>
      <c r="D53" s="70" t="inlineStr">
        <is>
          <t>Completamente logrado</t>
        </is>
      </c>
      <c r="E53" s="95" t="n"/>
      <c r="F53" s="70" t="inlineStr">
        <is>
          <t>Logrado</t>
        </is>
      </c>
      <c r="G53" s="95" t="n"/>
      <c r="H53" s="70" t="inlineStr">
        <is>
          <t>Medianamente logrado</t>
        </is>
      </c>
      <c r="I53" s="95" t="n"/>
      <c r="J53" s="70" t="inlineStr">
        <is>
          <t>No logrado</t>
        </is>
      </c>
      <c r="K53" s="95" t="n"/>
    </row>
    <row r="54" ht="25.5" customHeight="1" s="76">
      <c r="A54" s="96" t="n"/>
      <c r="B54" s="42">
        <f>RUBRICA!A7</f>
        <v/>
      </c>
      <c r="C54" s="44" t="inlineStr">
        <is>
          <t>Completamente logrado</t>
        </is>
      </c>
      <c r="D54" s="46">
        <f>IF($C54=CL,"X","")</f>
        <v/>
      </c>
      <c r="E54" s="46">
        <f>IF(D54="X",100*0.1,"")</f>
        <v/>
      </c>
      <c r="F54" s="46">
        <f>IF($C54=L,"X","")</f>
        <v/>
      </c>
      <c r="G54" s="46">
        <f>IF(F54="X",60*0.1,"")</f>
        <v/>
      </c>
      <c r="H54" s="46">
        <f>IF($C54=ML,"X","")</f>
        <v/>
      </c>
      <c r="I54" s="46">
        <f>IF(H54="X",30*0.1,"")</f>
        <v/>
      </c>
      <c r="J54" s="46">
        <f>IF($C54=NL,"X","")</f>
        <v/>
      </c>
      <c r="K54" s="46">
        <f>IF($J54="X",0,"")</f>
        <v/>
      </c>
    </row>
    <row r="55" ht="15.75" customHeight="1" s="76">
      <c r="A55" s="96" t="n"/>
      <c r="B55" s="42">
        <f>RUBRICA!A15</f>
        <v/>
      </c>
      <c r="C55" s="44" t="inlineStr">
        <is>
          <t>Logrado</t>
        </is>
      </c>
      <c r="D55" s="46">
        <f>IF($C55=CL,"X","")</f>
        <v/>
      </c>
      <c r="E55" s="46">
        <f>IF(D55="X",100*0.1,"")</f>
        <v/>
      </c>
      <c r="F55" s="46">
        <f>IF($C55=L,"X","")</f>
        <v/>
      </c>
      <c r="G55" s="46">
        <f>IF(F55="X",60*0.1,"")</f>
        <v/>
      </c>
      <c r="H55" s="46">
        <f>IF($C55=ML,"X","")</f>
        <v/>
      </c>
      <c r="I55" s="46">
        <f>IF(H55="X",30*0.1,"")</f>
        <v/>
      </c>
      <c r="J55" s="46">
        <f>IF($C55=NL,"X","")</f>
        <v/>
      </c>
      <c r="K55" s="46">
        <f>IF($J55="X",0,"")</f>
        <v/>
      </c>
    </row>
    <row r="56" ht="15.75" customHeight="1" s="76">
      <c r="A56" s="96" t="n"/>
      <c r="B56" s="42">
        <f>RUBRICA!A17</f>
        <v/>
      </c>
      <c r="C56" s="44" t="inlineStr">
        <is>
          <t>Completamente logrado</t>
        </is>
      </c>
      <c r="D56" s="46">
        <f>IF($C56=CL,"X","")</f>
        <v/>
      </c>
      <c r="E56" s="46">
        <f>IF(D56="X",100*0.1,"")</f>
        <v/>
      </c>
      <c r="F56" s="46">
        <f>IF($C56=L,"X","")</f>
        <v/>
      </c>
      <c r="G56" s="46">
        <f>IF(F56="X",60*0.1,"")</f>
        <v/>
      </c>
      <c r="H56" s="46">
        <f>IF($C56=ML,"X","")</f>
        <v/>
      </c>
      <c r="I56" s="46">
        <f>IF(H56="X",30*0.1,"")</f>
        <v/>
      </c>
      <c r="J56" s="46">
        <f>IF($C56=NL,"X","")</f>
        <v/>
      </c>
      <c r="K56" s="46">
        <f>IF($J56="X",0,"")</f>
        <v/>
      </c>
    </row>
    <row r="57" ht="15.75" customHeight="1" s="76">
      <c r="A57" s="96" t="n"/>
      <c r="B57" s="71" t="inlineStr">
        <is>
          <t>PUNTAJE</t>
        </is>
      </c>
      <c r="C57" s="72">
        <f>E57+G57+I57+K57</f>
        <v/>
      </c>
      <c r="D57" s="59">
        <f>COUNTIF(D55:D56,"X")</f>
        <v/>
      </c>
      <c r="E57" s="59">
        <f>SUM(E54:E56)</f>
        <v/>
      </c>
      <c r="F57" s="59">
        <f>SUM(F54:F56)</f>
        <v/>
      </c>
      <c r="G57" s="59">
        <f>SUM(G54:G56)</f>
        <v/>
      </c>
      <c r="H57" s="59">
        <f>SUM(H54:H56)</f>
        <v/>
      </c>
      <c r="I57" s="59">
        <f>SUM(I54:I56)</f>
        <v/>
      </c>
      <c r="J57" s="59">
        <f>SUM(J54:J56)</f>
        <v/>
      </c>
      <c r="K57" s="59">
        <f>SUM(K54:K56)</f>
        <v/>
      </c>
    </row>
    <row r="58" ht="15.75" customHeight="1" s="76">
      <c r="A58" s="92" t="n"/>
      <c r="B58" s="73" t="inlineStr">
        <is>
          <t>Nota</t>
        </is>
      </c>
      <c r="C58" s="61">
        <f>VLOOKUP(C57,ESCALA_TRAB_EQUIP!A2:B62,2,FALSE)</f>
        <v/>
      </c>
    </row>
    <row r="59" ht="15.75" customHeight="1" s="76">
      <c r="B59" s="74" t="n"/>
      <c r="C59" s="75" t="n"/>
    </row>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row r="101" ht="15.75" customHeight="1" s="76"/>
    <row r="102" ht="15.75" customHeight="1" s="76"/>
    <row r="103" ht="15.75" customHeight="1" s="76"/>
    <row r="104" ht="15.75" customHeight="1" s="76"/>
    <row r="105" ht="15.75" customHeight="1" s="76"/>
    <row r="106" ht="15.75" customHeight="1" s="76"/>
    <row r="107" ht="15.75" customHeight="1" s="76"/>
    <row r="108" ht="15.75" customHeight="1" s="76"/>
    <row r="109" ht="15.75" customHeight="1" s="76"/>
    <row r="110" ht="15.75" customHeight="1" s="76"/>
    <row r="111" ht="15.75" customHeight="1" s="76"/>
    <row r="112" ht="15.75" customHeight="1" s="76"/>
    <row r="113" ht="15.75" customHeight="1" s="76"/>
    <row r="114" ht="15.75" customHeight="1" s="76"/>
    <row r="115" ht="15.75" customHeight="1" s="76"/>
    <row r="116" ht="15.75" customHeight="1" s="76"/>
    <row r="117" ht="15.75" customHeight="1" s="76"/>
    <row r="118" ht="15.75" customHeight="1" s="76"/>
    <row r="119" ht="15.75" customHeight="1" s="76"/>
    <row r="120" ht="15.75" customHeight="1" s="76"/>
    <row r="121" ht="15.75" customHeight="1" s="76"/>
    <row r="122" ht="15.75" customHeight="1" s="76"/>
    <row r="123" ht="15.75" customHeight="1" s="76"/>
    <row r="124" ht="15.75" customHeight="1" s="76"/>
    <row r="125" ht="15.75" customHeight="1" s="76"/>
    <row r="126" ht="15.75" customHeight="1" s="76"/>
    <row r="127" ht="15.75" customHeight="1" s="76"/>
    <row r="128" ht="15.75" customHeight="1" s="76"/>
    <row r="129" ht="15.75" customHeight="1" s="76"/>
    <row r="130" ht="15.75" customHeight="1" s="76"/>
    <row r="131" ht="15.75" customHeight="1" s="76"/>
    <row r="132" ht="15.75" customHeight="1" s="76"/>
    <row r="133" ht="15.75" customHeight="1" s="76"/>
    <row r="134" ht="15.75" customHeight="1" s="76"/>
    <row r="135" ht="15.75" customHeight="1" s="76"/>
    <row r="136" ht="15.75" customHeight="1" s="76"/>
    <row r="137" ht="15.75" customHeight="1" s="76"/>
    <row r="138" ht="15.75" customHeight="1" s="76"/>
    <row r="139" ht="15.75" customHeight="1" s="76"/>
    <row r="140" ht="15.75" customHeight="1" s="76"/>
    <row r="141" ht="15.75" customHeight="1" s="76"/>
    <row r="142" ht="15.75" customHeight="1" s="76"/>
    <row r="143" ht="15.75" customHeight="1" s="76"/>
    <row r="144" ht="15.75" customHeight="1" s="76"/>
    <row r="145" ht="15.75" customHeight="1" s="76"/>
    <row r="146" ht="15.75" customHeight="1" s="76"/>
    <row r="147" ht="15.75" customHeight="1" s="76"/>
    <row r="148" ht="15.75" customHeight="1" s="76"/>
    <row r="149" ht="15.75" customHeight="1" s="76"/>
    <row r="150" ht="15.75" customHeight="1" s="76"/>
    <row r="151" ht="15.75" customHeight="1" s="76"/>
    <row r="152" ht="15.75" customHeight="1" s="76"/>
    <row r="153" ht="15.75" customHeight="1" s="76"/>
    <row r="154" ht="15.75" customHeight="1" s="76"/>
    <row r="155" ht="15.75" customHeight="1" s="76"/>
    <row r="156" ht="15.75" customHeight="1" s="76"/>
    <row r="157" ht="15.75" customHeight="1" s="76"/>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mergeCells count="35">
    <mergeCell ref="H53:I53"/>
    <mergeCell ref="B27:B28"/>
    <mergeCell ref="A27:A35"/>
    <mergeCell ref="C39:K40"/>
    <mergeCell ref="A50:A58"/>
    <mergeCell ref="C29:C30"/>
    <mergeCell ref="B39:B40"/>
    <mergeCell ref="J30:K30"/>
    <mergeCell ref="F12:G12"/>
    <mergeCell ref="F30:G30"/>
    <mergeCell ref="D52:K52"/>
    <mergeCell ref="D11:K11"/>
    <mergeCell ref="J53:K53"/>
    <mergeCell ref="C41:C42"/>
    <mergeCell ref="F42:G42"/>
    <mergeCell ref="C11:C12"/>
    <mergeCell ref="D41:K41"/>
    <mergeCell ref="A11:A24"/>
    <mergeCell ref="E2:E3"/>
    <mergeCell ref="D53:E53"/>
    <mergeCell ref="C52:C53"/>
    <mergeCell ref="C50:K51"/>
    <mergeCell ref="A39:A47"/>
    <mergeCell ref="D12:E12"/>
    <mergeCell ref="H12:I12"/>
    <mergeCell ref="J12:K12"/>
    <mergeCell ref="D30:E30"/>
    <mergeCell ref="D42:E42"/>
    <mergeCell ref="H42:I42"/>
    <mergeCell ref="J42:K42"/>
    <mergeCell ref="D29:K29"/>
    <mergeCell ref="B50:B51"/>
    <mergeCell ref="C27:K28"/>
    <mergeCell ref="H30:I30"/>
    <mergeCell ref="F53:G53"/>
  </mergeCells>
  <conditionalFormatting sqref="C4:E6">
    <cfRule type="cellIs" priority="1" operator="lessThan" dxfId="0">
      <formula>4</formula>
    </cfRule>
    <cfRule type="cellIs" priority="2" operator="lessThan" dxfId="0">
      <formula>1</formula>
    </cfRule>
  </conditionalFormatting>
  <dataValidations count="2">
    <dataValidation sqref="C4:E6" showDropDown="0" showInputMessage="1" showErrorMessage="1" allowBlank="1" prompt="Error de Ingreso - Nota debe estar entre 1,0 y 7,0" type="decimal">
      <formula1>1.0</formula1>
      <formula2>7.0</formula2>
    </dataValidation>
    <dataValidation sqref="C13:C22 C31:C33 C43:C45 C54:C56" showDropDown="0" showInputMessage="0" showErrorMessage="1" allowBlank="1" type="list">
      <formula1>'RELEVANCIA-PUNTAJE'!$B$2:$E$2</formula1>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2:F18"/>
  <sheetViews>
    <sheetView workbookViewId="0">
      <selection activeCell="A1" sqref="A1"/>
    </sheetView>
  </sheetViews>
  <sheetFormatPr baseColWidth="8" defaultColWidth="14.43" defaultRowHeight="15" customHeight="1" outlineLevelRow="1"/>
  <cols>
    <col width="39.43" customWidth="1" style="76" min="1" max="1"/>
    <col width="40.29" customWidth="1" style="76" min="2" max="2"/>
    <col width="31.71" customWidth="1" style="76" min="3" max="3"/>
    <col width="38.71" customWidth="1" style="76" min="4" max="4"/>
    <col width="38.43" customWidth="1" style="76" min="5" max="5"/>
    <col width="11.43" customWidth="1" style="76" min="6" max="26"/>
  </cols>
  <sheetData>
    <row r="2">
      <c r="A2" s="105" t="inlineStr">
        <is>
          <t>Indicador de Evaluación</t>
        </is>
      </c>
      <c r="B2" s="105" t="inlineStr">
        <is>
          <t>Categorías de Respuesta</t>
        </is>
      </c>
      <c r="C2" s="106" t="n"/>
      <c r="D2" s="106" t="n"/>
      <c r="E2" s="107" t="n"/>
      <c r="F2" s="105" t="inlineStr">
        <is>
          <t>Ponderación del Indicador de Evaluación</t>
        </is>
      </c>
    </row>
    <row r="3">
      <c r="A3" s="108" t="n"/>
      <c r="B3" s="109" t="inlineStr">
        <is>
          <t>Completamente Logrado (100%)</t>
        </is>
      </c>
      <c r="C3" s="109" t="inlineStr">
        <is>
          <t>Logrado  (60%)</t>
        </is>
      </c>
      <c r="D3" s="18" t="inlineStr">
        <is>
          <t xml:space="preserve">Logro incipiente </t>
        </is>
      </c>
      <c r="E3" s="19" t="inlineStr">
        <is>
          <t>No logrado</t>
        </is>
      </c>
      <c r="F3" s="108" t="n"/>
    </row>
    <row r="4" ht="57" customHeight="1" s="76">
      <c r="A4" s="110" t="n"/>
      <c r="B4" s="110" t="n"/>
      <c r="C4" s="110" t="n"/>
      <c r="D4" s="22" t="n">
        <v>-0.3</v>
      </c>
      <c r="E4" s="22" t="n">
        <v>0</v>
      </c>
      <c r="F4" s="110" t="n"/>
    </row>
    <row r="5">
      <c r="A5" s="23" t="inlineStr">
        <is>
          <t>1. Describe brevemente en qué consiste el Proyecto APT, justificando su relevancia para el campo laboral de su carrera.</t>
        </is>
      </c>
      <c r="B5" s="24" t="inlineStr">
        <is>
          <t>Describe brevemente en qué consiste el proyecto APT, justificando la relevancia, impacto o beneficio (real o simulado) que tendría en el campo laboral de su carrera.</t>
        </is>
      </c>
      <c r="C5" s="24" t="inlineStr">
        <is>
          <t>Describe brevemente en qué consiste el proyecto APT, señalando la relevancia, impacto o beneficio (real o simulado) que tendría, pero no queda clara la relación con el campo laboral de su carrera.</t>
        </is>
      </c>
      <c r="D5" s="24" t="inlineStr">
        <is>
          <t xml:space="preserve">Describe brevemente en qué consiste el proyecto APT, pero no fue justificado ni relacionado con el campo laboral de su carrera. </t>
        </is>
      </c>
      <c r="E5" s="24" t="inlineStr">
        <is>
          <t xml:space="preserve">No describe o es confuso el proyecto APT, sin justificar ni relacionarlo con el campo laboral de su carrera. </t>
        </is>
      </c>
      <c r="F5" s="25" t="n">
        <v>10</v>
      </c>
    </row>
    <row r="6">
      <c r="A6" s="26" t="inlineStr">
        <is>
          <t>2. Relaciona el Proyecto APT con las competencias del perfil de egreso de su Plan de Estudio.</t>
        </is>
      </c>
      <c r="B6" s="26" t="inlineStr">
        <is>
          <t xml:space="preserve">Describe una relación coherente entre el proyecto y el perfil de egreso del plan de estudio, especificando cómo debe utilizar distintas competencias para desarrollar su Proyecto APT. </t>
        </is>
      </c>
      <c r="C6" s="26" t="inlineStr">
        <is>
          <t>Describe una relación coherente entre el proyecto y el perfil de egreso del plan de estudio, pero no especifica cómo debe utilizar distintas competencias para desarrollar su Proyecto APT.</t>
        </is>
      </c>
      <c r="D6" s="26" t="inlineStr">
        <is>
          <t>Describe una relación que tiene elementos pero que no son coherentes entre el proyecto y el perfil de egreso del plan de estudio.</t>
        </is>
      </c>
      <c r="E6" s="27" t="inlineStr">
        <is>
          <t xml:space="preserve">Describe una relación sin coherencia entre el proyecto y el perfil de egreso del plan de estudio o no relaciona el proyecto con el perfil de egreso. </t>
        </is>
      </c>
      <c r="F6" s="28" t="n">
        <v>5</v>
      </c>
    </row>
    <row r="7" ht="94.5" customHeight="1" s="76">
      <c r="A7" s="29" t="inlineStr">
        <is>
          <t>3. Relaciona el Proyecto APT con sus intereses profesionales. *</t>
        </is>
      </c>
      <c r="B7" s="29" t="inlineStr">
        <is>
          <t xml:space="preserve">Menciona los intereses profesionales y explica con claridad cómo estos se ven reflejados en el proyecto. </t>
        </is>
      </c>
      <c r="C7" s="29" t="inlineStr">
        <is>
          <t>Menciona los intereses profesionales, pero no queda completamente clara su conexión con el proyecto.</t>
        </is>
      </c>
      <c r="D7" s="29" t="inlineStr">
        <is>
          <t xml:space="preserve">Menciona los intereses profesionales sin conectarlos con el proyecto. </t>
        </is>
      </c>
      <c r="E7" s="29" t="inlineStr">
        <is>
          <t>No menciona los intereses profesionales.</t>
        </is>
      </c>
      <c r="F7" s="32" t="n">
        <v>10</v>
      </c>
    </row>
    <row r="8">
      <c r="A8" s="29" t="inlineStr">
        <is>
          <t xml:space="preserve">4.  Argumenta por qué el proyecto es factible de realizarse en el marco de la asignatura. </t>
        </is>
      </c>
      <c r="B8" s="29" t="inlineStr">
        <is>
          <t>Justifica por qué el proyecto puede desarrollarse considerado tiempo, materiales y factores externos, y en caso de posibles dificultades plantea como las abordaría.</t>
        </is>
      </c>
      <c r="C8" s="29" t="inlineStr">
        <is>
          <t>Justifica por qué el proyecto puede desarrollarse, considerando el tiempo y materiales o factores externos y en caso de posibles dificultades no plantea claramente como las abordaría.</t>
        </is>
      </c>
      <c r="D8" s="29" t="inlineStr">
        <is>
          <t>Justifica por qué el proyecto puede desarrollarse en el tiempo de la asignatura, sin considerar materiales ni factores externos y en caso de posibles dificultades no plantea como abordarlas.</t>
        </is>
      </c>
      <c r="E8" s="29" t="inlineStr">
        <is>
          <t>No justifica las razones de porque el proyecto puede desarrollarse, o el proyecto presentado no es factible de realizarse en el tiempo asignado.</t>
        </is>
      </c>
      <c r="F8" s="32" t="n">
        <v>5</v>
      </c>
    </row>
    <row r="9" ht="65.25" customHeight="1" s="76">
      <c r="A9" s="23" t="inlineStr">
        <is>
          <t xml:space="preserve">5. Formula objetivos claros, concisos y coherentes con la disciplina y la situación a abordar. </t>
        </is>
      </c>
      <c r="B9" s="24" t="inlineStr">
        <is>
          <t>Formula objetivos claros, concisos y coherentes con la disciplina y la situación a abordar.</t>
        </is>
      </c>
      <c r="C9" s="24" t="inlineStr">
        <is>
          <t xml:space="preserve">Formula objetivos claros y coherentes con la situación a abordar, pero imprecisos de acuerdo a la disciplina. </t>
        </is>
      </c>
      <c r="D9" s="24" t="inlineStr">
        <is>
          <t xml:space="preserve">Formula objetivos confusos, por lo que no queda claro lo que se busca alcanzar ni si es coherente con la situación a abordar.  </t>
        </is>
      </c>
      <c r="E9" s="24" t="inlineStr">
        <is>
          <t>No plantea objetivos o estos no son coherentes con la disciplina ni la situación a abordar.</t>
        </is>
      </c>
      <c r="F9" s="25" t="n">
        <v>5</v>
      </c>
    </row>
    <row r="10">
      <c r="A10" s="23" t="inlineStr">
        <is>
          <t>6. Propone una metodología de trabajo que permite alcanzar los objetivos propuestos y es pertinente con los requerimientos disciplinares.</t>
        </is>
      </c>
      <c r="B10" s="24" t="inlineStr">
        <is>
          <t>Describe una metodología pertinente con los requerimientos disciplinares, contemplando todos los aspectos necesarios para alcanzar los objetivos planteados.</t>
        </is>
      </c>
      <c r="C10" s="24" t="inlineStr">
        <is>
          <t>Describe una metodología pertinente con los requerimientos disciplinares, pero no contempla todos los aspectos necesarios para alcanzar los objetivos planteados.</t>
        </is>
      </c>
      <c r="D10" s="24" t="inlineStr">
        <is>
          <t>Describe una metodología que no es del todo pertinente para lograr los objetivos planteados.</t>
        </is>
      </c>
      <c r="E10" s="24" t="inlineStr">
        <is>
          <t xml:space="preserve">No describe una metodología, o bien esta no es pertinente para lograr los objetivos propuestos. </t>
        </is>
      </c>
      <c r="F10" s="25" t="n">
        <v>10</v>
      </c>
    </row>
    <row r="11">
      <c r="A11" s="26" t="inlineStr">
        <is>
          <t xml:space="preserve">7. Establece un plan de trabajo para su proyecto APT considerando los recursos, duración, facilitadores y obstaculizadores en el desarrollo de las actividades. </t>
        </is>
      </c>
      <c r="B11" s="26" t="inlineStr">
        <is>
          <t xml:space="preserve">Establece un plan de trabajo con todas las actividades necesarias para cumplir los objetivos, teniendo en consideración los recursos, duración, facilitadores y obstaculizadores. </t>
        </is>
      </c>
      <c r="C11" s="26" t="inlineStr">
        <is>
          <t xml:space="preserve">Establece un plan de trabajo con la mayoría de las actividades necesarias para cumplir los objetivos, teniendo en consideración los recursos, duración, facilitadores y obstaculizadores. </t>
        </is>
      </c>
      <c r="D11" s="26" t="inlineStr">
        <is>
          <t xml:space="preserve">Establece un plan de trabajo que carece de actividades necesarias para cumplir los objetivos y/o no tiene en consideración los recursos, duración, facilitadores y obstaculizadores. </t>
        </is>
      </c>
      <c r="E11" s="26" t="inlineStr">
        <is>
          <t>No establece un plan de trabajo, o bien este no permite cumplir los objetivos del proyecto APT.</t>
        </is>
      </c>
      <c r="F11" s="28" t="n">
        <v>10</v>
      </c>
    </row>
    <row r="12">
      <c r="A12" s="39" t="inlineStr">
        <is>
          <t>8. Determina evidencias, justificando cómo estas dan cuenta del logro de las actividades del Proyecto APT.</t>
        </is>
      </c>
      <c r="B12" s="27" t="inlineStr">
        <is>
          <t xml:space="preserve">Describe evidencias que permiten dar cuenta del logro de las actividades del proyecto APT y justifica su selección. </t>
        </is>
      </c>
      <c r="C12" s="27" t="inlineStr">
        <is>
          <t>Describe evidencias que permiten dar cuenta del logro de las actividades del proyecto APT, pero no justifica con claridad su selección.</t>
        </is>
      </c>
      <c r="D12" s="27" t="inlineStr">
        <is>
          <t xml:space="preserve">Describe evidencias que permiten dar cuenta del logro de solo algunas actividades del proyecto APT y/o no justifica su selección. </t>
        </is>
      </c>
      <c r="E12" s="27" t="inlineStr">
        <is>
          <t>No incluye evidencias que pueden dar cuenta del desarrollo del proyecto.</t>
        </is>
      </c>
      <c r="F12" s="40" t="n">
        <v>5</v>
      </c>
    </row>
    <row r="13" ht="93.75" customHeight="1" s="76">
      <c r="A13" s="29" t="inlineStr">
        <is>
          <t xml:space="preserve">9. Utiliza reglas de redacción, ortografía (literal, puntual, acentual) y las normas para citas y referencias. </t>
        </is>
      </c>
      <c r="B13" s="29" t="inlineStr">
        <is>
          <t>El texto cumple con las reglas ortografía y de redacción en todos sus apartados y utiliza correctamente todas las normas de citación y referencias.</t>
        </is>
      </c>
      <c r="C13" s="29" t="inlineStr">
        <is>
          <t>El texto presenta de 1 a 5 errores de ortografía, redacción o en las citas y referencias del informe.</t>
        </is>
      </c>
      <c r="D13" s="29" t="inlineStr">
        <is>
          <t>El texto presenta de 6 a 10 errores de ortografía, redacción o en las citas y referencias del informe.</t>
        </is>
      </c>
      <c r="E13" s="29" t="inlineStr">
        <is>
          <t>El texto presenta más de 10 errores de ortografía, redacción o en las citas y referencias del informe.</t>
        </is>
      </c>
      <c r="F13" s="41" t="n">
        <v>5</v>
      </c>
    </row>
    <row r="14">
      <c r="A14" s="29" t="inlineStr">
        <is>
          <t>10. Cumple completando el contenido del informe de presentación del proyecto de acuerdo con la plantilla entregada.</t>
        </is>
      </c>
      <c r="B14" s="29" t="inlineStr">
        <is>
          <t>Cumple con todos los ítems solicitados en el informe de presentación del proyecto, siendo estos contenidos coherentes con lo solicitado en cada ítem</t>
        </is>
      </c>
      <c r="C14" s="29" t="inlineStr">
        <is>
          <t>No cumple con todos los ítems solicitados en el informe de presentación del proyecto, siendo los  contenidos entregados coherentes con lo solicitado en cada ítem</t>
        </is>
      </c>
      <c r="D14" s="29" t="inlineStr">
        <is>
          <t>No cumple con todos los ítems solicitados en el 
informe de presentación del proyecto, siendo los 
contenidos entregados coherentes con lo solicitado en cada ítem</t>
        </is>
      </c>
      <c r="E14" s="29" t="inlineStr">
        <is>
          <t>No cumple con todos los ítems solicitados en el informe de presentación del proyecto, y los contenidos entregados son poco coherentes con lo solicitado en cada ítem</t>
        </is>
      </c>
      <c r="F14" s="41" t="n">
        <v>5</v>
      </c>
    </row>
    <row r="15">
      <c r="A15" s="23" t="inlineStr">
        <is>
          <t>11. Expone el tema utilizando un lenguaje técnico disciplinar al presentar la propuesta y responde evidenciando un manejo de la información. *</t>
        </is>
      </c>
      <c r="B15" s="24" t="inlineStr">
        <is>
          <t>Expone el tema utilizando un lenguaje técnico disciplinar al presentar la propuesta y responde evidenciando un manejo de la información en todo momento</t>
        </is>
      </c>
      <c r="C15" s="24" t="inlineStr">
        <is>
          <t>Expone el tema utilizando un lenguaje técnico disciplinar al presentar la propuesta y responde evidenciando un manejo de la información la mayoría del tiempo.</t>
        </is>
      </c>
      <c r="D15" s="24" t="inlineStr">
        <is>
          <t>Expone el tema utilizando un lenguaje técnico disciplinar al presentar la propuesta y responde evidenciando un manejo de la información la mitad del tiempo.</t>
        </is>
      </c>
      <c r="E15" s="24" t="inlineStr">
        <is>
          <t>Expone el tema utilizando un lenguaje técnico disciplinar al presentar la propuesta y responde evidenciando un manejo de la información en menos de la mitad del tiempo.</t>
        </is>
      </c>
      <c r="F15" s="25" t="n">
        <v>10</v>
      </c>
    </row>
    <row r="16">
      <c r="A16" s="23" t="inlineStr">
        <is>
          <t>12. Desarrolla un plan de trabajo que permita del logro de los objetivos propuestos del proyecto de 
acuerdo a los tiempos para su desarrollo</t>
        </is>
      </c>
      <c r="B16" s="24" t="inlineStr">
        <is>
          <t>Desarrolla un plan de trabajo que permite el logro de los objetivos propuestos del proyecto de acuerdo a los tiempos para su desarrollo y contiene hitos claros para demostrar el estado de avance</t>
        </is>
      </c>
      <c r="C16" s="24" t="inlineStr">
        <is>
          <t>Desarrolla un plan de trabajo que permita el logro de los objetivos propuestos del proyecto de acuerdo a los tiempos para su desarrollo pero no demuestran hitos claros para demostrar el estado de avance</t>
        </is>
      </c>
      <c r="D16" s="24" t="inlineStr">
        <is>
          <t>El desarrollo del plan de trabajo no permite determinar si el logro de los objetivos propuestos del proyecto son alcanzables en los tiempos para su desarrollo pero si demuestran hitos claros para demostrar el estado de avance</t>
        </is>
      </c>
      <c r="E16" s="24" t="inlineStr">
        <is>
          <t>El desarrollo del plan de trabajo no permite determinar si el logro de los objetivos propuestos del proyecto son alcanzables en los tiempos para su desarrollo y no demuestran hitos claros para demostrar el estado de avance</t>
        </is>
      </c>
      <c r="F16" s="25" t="n">
        <v>10</v>
      </c>
    </row>
    <row r="17">
      <c r="A17" s="23" t="inlineStr">
        <is>
          <t>13. Colaboración y trabajo en equipo *</t>
        </is>
      </c>
      <c r="B17" s="24" t="inlineStr">
        <is>
          <t>El estudiante realiza un excelente trabajo en equipo, fomentando un ambiente positivo, siendo participativo con su equipo en las sesiones presenciales de la asignatura y participando de manera equitativa en la presentación del caso</t>
        </is>
      </c>
      <c r="C17" s="24" t="inlineStr">
        <is>
          <t xml:space="preserve">El estudiante realiza un buen trabajo en equipo, fomentando un ambiente positivo, siendo participativo con su equipo en las sesiones presenciales de la asignatura, pero no demuestra una participación de manera equitativa en la presentación del caso </t>
        </is>
      </c>
      <c r="D17" s="24" t="inlineStr">
        <is>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is>
      </c>
      <c r="E17" s="24" t="inlineStr">
        <is>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is>
      </c>
      <c r="F17" s="25" t="n">
        <v>10</v>
      </c>
    </row>
    <row r="18">
      <c r="A18" s="111" t="inlineStr">
        <is>
          <t>Total</t>
        </is>
      </c>
      <c r="B18" s="106" t="n"/>
      <c r="C18" s="106" t="n"/>
      <c r="D18" s="106" t="n"/>
      <c r="E18" s="107" t="n"/>
      <c r="F18" s="45" t="n">
        <v>1</v>
      </c>
    </row>
    <row r="21" ht="15.75" customHeight="1" s="76"/>
    <row r="22" ht="15.75" customHeight="1" s="76"/>
    <row r="23" ht="15.75" customHeight="1" s="76"/>
    <row r="24" ht="15.75" customHeight="1" s="76"/>
    <row r="25" ht="15.75" customHeight="1" s="76"/>
    <row r="26" ht="15.75" customHeight="1" s="76"/>
    <row r="27" ht="15.75" customHeight="1" s="76"/>
    <row r="28" ht="15.75" customHeight="1" s="76"/>
    <row r="29" ht="15.75" customHeight="1" s="76"/>
    <row r="30" ht="15.75" customHeight="1" s="76"/>
    <row r="31" ht="15.75" customHeight="1" s="76"/>
    <row r="32" ht="15.75" customHeight="1" s="76"/>
    <row r="33" ht="15.75" customHeight="1" s="76"/>
    <row r="34" ht="15.75" customHeight="1" s="76"/>
    <row r="35" ht="15.75" customHeight="1" s="76"/>
    <row r="36" ht="15.75" customHeight="1" s="76"/>
    <row r="37" ht="15.75" customHeight="1" s="76"/>
    <row r="38" ht="15.75" customHeight="1" s="76"/>
    <row r="39" ht="15.75" customHeight="1" s="76"/>
    <row r="40" ht="15.75" customHeight="1" s="76"/>
    <row r="41" ht="15.75" customHeight="1" s="76"/>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row r="101" ht="15.75" customHeight="1" s="76"/>
    <row r="102" ht="15.75" customHeight="1" s="76"/>
    <row r="103" ht="15.75" customHeight="1" s="76"/>
    <row r="104" ht="15.75" customHeight="1" s="76"/>
    <row r="105" ht="15.75" customHeight="1" s="76"/>
    <row r="106" ht="15.75" customHeight="1" s="76"/>
    <row r="107" ht="15.75" customHeight="1" s="76"/>
    <row r="108" ht="15.75" customHeight="1" s="76"/>
    <row r="109" ht="15.75" customHeight="1" s="76"/>
    <row r="110" ht="15.75" customHeight="1" s="76"/>
    <row r="111" ht="15.75" customHeight="1" s="76"/>
    <row r="112" ht="15.75" customHeight="1" s="76"/>
    <row r="113" ht="15.75" customHeight="1" s="76"/>
    <row r="114" ht="15.75" customHeight="1" s="76"/>
    <row r="115" ht="15.75" customHeight="1" s="76"/>
    <row r="116" ht="15.75" customHeight="1" s="76"/>
    <row r="117" ht="15.75" customHeight="1" s="76"/>
    <row r="118" ht="15.75" customHeight="1" s="76"/>
    <row r="119" ht="15.75" customHeight="1" s="76"/>
    <row r="120" ht="15.75" customHeight="1" s="76"/>
    <row r="121" ht="15.75" customHeight="1" s="76"/>
    <row r="122" ht="15.75" customHeight="1" s="76"/>
    <row r="123" ht="15.75" customHeight="1" s="76"/>
    <row r="124" ht="15.75" customHeight="1" s="76"/>
    <row r="125" ht="15.75" customHeight="1" s="76"/>
    <row r="126" ht="15.75" customHeight="1" s="76"/>
    <row r="127" ht="15.75" customHeight="1" s="76"/>
    <row r="128" ht="15.75" customHeight="1" s="76"/>
    <row r="129" ht="15.75" customHeight="1" s="76"/>
    <row r="130" ht="15.75" customHeight="1" s="76"/>
    <row r="131" ht="15.75" customHeight="1" s="76"/>
    <row r="132" ht="15.75" customHeight="1" s="76"/>
    <row r="133" ht="15.75" customHeight="1" s="76"/>
    <row r="134" ht="15.75" customHeight="1" s="76"/>
    <row r="135" ht="15.75" customHeight="1" s="76"/>
    <row r="136" ht="15.75" customHeight="1" s="76"/>
    <row r="137" ht="15.75" customHeight="1" s="76"/>
    <row r="138" ht="15.75" customHeight="1" s="76"/>
    <row r="139" ht="15.75" customHeight="1" s="76"/>
    <row r="140" ht="15.75" customHeight="1" s="76"/>
    <row r="141" ht="15.75" customHeight="1" s="76"/>
    <row r="142" ht="15.75" customHeight="1" s="76"/>
    <row r="143" ht="15.75" customHeight="1" s="76"/>
    <row r="144" ht="15.75" customHeight="1" s="76"/>
    <row r="145" ht="15.75" customHeight="1" s="76"/>
    <row r="146" ht="15.75" customHeight="1" s="76"/>
    <row r="147" ht="15.75" customHeight="1" s="76"/>
    <row r="148" ht="15.75" customHeight="1" s="76"/>
    <row r="149" ht="15.75" customHeight="1" s="76"/>
    <row r="150" ht="15.75" customHeight="1" s="76"/>
    <row r="151" ht="15.75" customHeight="1" s="76"/>
    <row r="152" ht="15.75" customHeight="1" s="76"/>
    <row r="153" ht="15.75" customHeight="1" s="76"/>
    <row r="154" ht="15.75" customHeight="1" s="76"/>
    <row r="155" ht="15.75" customHeight="1" s="76"/>
    <row r="156" ht="15.75" customHeight="1" s="76"/>
    <row r="157" ht="15.75" customHeight="1" s="76"/>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mergeCells count="6">
    <mergeCell ref="A2:A4"/>
    <mergeCell ref="C3:C4"/>
    <mergeCell ref="B3:B4"/>
    <mergeCell ref="F2:F4"/>
    <mergeCell ref="B2:E2"/>
    <mergeCell ref="A18:E18"/>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ColWidth="14.43" defaultRowHeight="15" customHeight="1" outlineLevelRow="1"/>
  <cols>
    <col width="10.71" customWidth="1" style="76" min="1" max="6"/>
  </cols>
  <sheetData>
    <row r="1">
      <c r="A1" s="1" t="inlineStr">
        <is>
          <t>Puntaje</t>
        </is>
      </c>
      <c r="B1" s="1" t="inlineStr">
        <is>
          <t>Nota</t>
        </is>
      </c>
    </row>
    <row r="2">
      <c r="A2" s="1" t="n">
        <v>0</v>
      </c>
      <c r="B2" s="3" t="n">
        <v>1</v>
      </c>
    </row>
    <row r="3">
      <c r="A3" s="1" t="n">
        <v>0.5</v>
      </c>
      <c r="B3" s="3" t="n">
        <v>1</v>
      </c>
    </row>
    <row r="4">
      <c r="A4" s="1" t="n">
        <v>1</v>
      </c>
      <c r="B4" s="3" t="n">
        <v>1.1</v>
      </c>
    </row>
    <row r="5">
      <c r="A5" s="1" t="n">
        <v>1.5</v>
      </c>
      <c r="B5" s="3" t="n">
        <v>1.1</v>
      </c>
    </row>
    <row r="6">
      <c r="A6" s="1" t="n">
        <v>2</v>
      </c>
      <c r="B6" s="3" t="n">
        <v>1.1</v>
      </c>
    </row>
    <row r="7">
      <c r="A7" s="1" t="n">
        <v>2.5</v>
      </c>
      <c r="B7" s="3" t="n">
        <v>1.2</v>
      </c>
    </row>
    <row r="8">
      <c r="A8" s="1" t="n">
        <v>3</v>
      </c>
      <c r="B8" s="3" t="n">
        <v>1.2</v>
      </c>
    </row>
    <row r="9">
      <c r="A9" s="1" t="n">
        <v>3.5</v>
      </c>
      <c r="B9" s="3" t="n">
        <v>1.3</v>
      </c>
    </row>
    <row r="10">
      <c r="A10" s="1" t="n">
        <v>4</v>
      </c>
      <c r="B10" s="3" t="n">
        <v>1.3</v>
      </c>
    </row>
    <row r="11">
      <c r="A11" s="1" t="n">
        <v>4.5</v>
      </c>
      <c r="B11" s="3" t="n">
        <v>1.3</v>
      </c>
    </row>
    <row r="12">
      <c r="A12" s="1" t="n">
        <v>5</v>
      </c>
      <c r="B12" s="3" t="n">
        <v>1.4</v>
      </c>
    </row>
    <row r="13">
      <c r="A13" s="1" t="n">
        <v>5.5</v>
      </c>
      <c r="B13" s="3" t="n">
        <v>1.4</v>
      </c>
    </row>
    <row r="14">
      <c r="A14" s="1" t="n">
        <v>6</v>
      </c>
      <c r="B14" s="3" t="n">
        <v>1.4</v>
      </c>
    </row>
    <row r="15">
      <c r="A15" s="1" t="n">
        <v>6.5</v>
      </c>
      <c r="B15" s="3" t="n">
        <v>1.5</v>
      </c>
    </row>
    <row r="16">
      <c r="A16" s="1" t="n">
        <v>7</v>
      </c>
      <c r="B16" s="3" t="n">
        <v>1.5</v>
      </c>
    </row>
    <row r="17">
      <c r="A17" s="1" t="n">
        <v>7.5</v>
      </c>
      <c r="B17" s="3" t="n">
        <v>1.5</v>
      </c>
    </row>
    <row r="18">
      <c r="A18" s="1" t="n">
        <v>8</v>
      </c>
      <c r="B18" s="3" t="n">
        <v>1.6</v>
      </c>
    </row>
    <row r="19">
      <c r="A19" s="1" t="n">
        <v>8.5</v>
      </c>
      <c r="B19" s="3" t="n">
        <v>1.6</v>
      </c>
    </row>
    <row r="20">
      <c r="A20" s="1" t="n">
        <v>9</v>
      </c>
      <c r="B20" s="3" t="n">
        <v>1.6</v>
      </c>
    </row>
    <row r="21" ht="15.75" customHeight="1" s="76">
      <c r="A21" s="1" t="n">
        <v>9.5</v>
      </c>
      <c r="B21" s="3" t="n">
        <v>1.7</v>
      </c>
    </row>
    <row r="22" ht="15.75" customHeight="1" s="76">
      <c r="A22" s="1" t="n">
        <v>10</v>
      </c>
      <c r="B22" s="3" t="n">
        <v>1.7</v>
      </c>
    </row>
    <row r="23" ht="15.75" customHeight="1" s="76">
      <c r="A23" s="1" t="n">
        <v>10.5</v>
      </c>
      <c r="B23" s="3" t="n">
        <v>1.8</v>
      </c>
    </row>
    <row r="24" ht="15.75" customHeight="1" s="76">
      <c r="A24" s="1" t="n">
        <v>11</v>
      </c>
      <c r="B24" s="3" t="n">
        <v>1.8</v>
      </c>
    </row>
    <row r="25" ht="15.75" customHeight="1" s="76">
      <c r="A25" s="1" t="n">
        <v>11.5</v>
      </c>
      <c r="B25" s="3" t="n">
        <v>1.8</v>
      </c>
    </row>
    <row r="26" ht="15.75" customHeight="1" s="76">
      <c r="A26" s="1" t="n">
        <v>12</v>
      </c>
      <c r="B26" s="3" t="n">
        <v>1.9</v>
      </c>
    </row>
    <row r="27" ht="15.75" customHeight="1" s="76">
      <c r="A27" s="1" t="n">
        <v>12.5</v>
      </c>
      <c r="B27" s="3" t="n">
        <v>1.9</v>
      </c>
    </row>
    <row r="28" ht="15.75" customHeight="1" s="76">
      <c r="A28" s="1" t="n">
        <v>13</v>
      </c>
      <c r="B28" s="3" t="n">
        <v>1.9</v>
      </c>
    </row>
    <row r="29" ht="15.75" customHeight="1" s="76">
      <c r="A29" s="1" t="n">
        <v>13.5</v>
      </c>
      <c r="B29" s="3" t="n">
        <v>2</v>
      </c>
    </row>
    <row r="30" ht="15.75" customHeight="1" s="76">
      <c r="A30" s="1" t="n">
        <v>14</v>
      </c>
      <c r="B30" s="3" t="n">
        <v>2</v>
      </c>
    </row>
    <row r="31" ht="15.75" customHeight="1" s="76">
      <c r="A31" s="1" t="n">
        <v>14.5</v>
      </c>
      <c r="B31" s="3" t="n">
        <v>2</v>
      </c>
    </row>
    <row r="32" ht="15.75" customHeight="1" s="76">
      <c r="A32" s="1" t="n">
        <v>15</v>
      </c>
      <c r="B32" s="3" t="n">
        <v>2.1</v>
      </c>
    </row>
    <row r="33" ht="15.75" customHeight="1" s="76">
      <c r="A33" s="1" t="n">
        <v>15.5</v>
      </c>
      <c r="B33" s="3" t="n">
        <v>2.1</v>
      </c>
    </row>
    <row r="34" ht="15.75" customHeight="1" s="76">
      <c r="A34" s="1" t="n">
        <v>16</v>
      </c>
      <c r="B34" s="3" t="n">
        <v>2.1</v>
      </c>
    </row>
    <row r="35" ht="15.75" customHeight="1" s="76">
      <c r="A35" s="1" t="n">
        <v>16.5</v>
      </c>
      <c r="B35" s="3" t="n">
        <v>2.2</v>
      </c>
    </row>
    <row r="36" ht="15.75" customHeight="1" s="76">
      <c r="A36" s="1" t="n">
        <v>17</v>
      </c>
      <c r="B36" s="3" t="n">
        <v>2.2</v>
      </c>
    </row>
    <row r="37" ht="15.75" customHeight="1" s="76">
      <c r="A37" s="1" t="n">
        <v>17.5</v>
      </c>
      <c r="B37" s="3" t="n">
        <v>2.3</v>
      </c>
    </row>
    <row r="38" ht="15.75" customHeight="1" s="76">
      <c r="A38" s="1" t="n">
        <v>18</v>
      </c>
      <c r="B38" s="3" t="n">
        <v>2.3</v>
      </c>
    </row>
    <row r="39" ht="15.75" customHeight="1" s="76">
      <c r="A39" s="1" t="n">
        <v>18.5</v>
      </c>
      <c r="B39" s="3" t="n">
        <v>2.3</v>
      </c>
    </row>
    <row r="40" ht="15.75" customHeight="1" s="76">
      <c r="A40" s="1" t="n">
        <v>19</v>
      </c>
      <c r="B40" s="3" t="n">
        <v>2.4</v>
      </c>
    </row>
    <row r="41" ht="15.75" customHeight="1" s="76">
      <c r="A41" s="1" t="n">
        <v>19.5</v>
      </c>
      <c r="B41" s="3" t="n">
        <v>2.4</v>
      </c>
    </row>
    <row r="42" ht="15.75" customHeight="1" s="76">
      <c r="A42" s="1" t="n">
        <v>20</v>
      </c>
      <c r="B42" s="3" t="n">
        <v>2.4</v>
      </c>
    </row>
    <row r="43" ht="15.75" customHeight="1" s="76">
      <c r="A43" s="1" t="n">
        <v>20.5</v>
      </c>
      <c r="B43" s="3" t="n">
        <v>2.5</v>
      </c>
    </row>
    <row r="44" ht="15.75" customHeight="1" s="76">
      <c r="A44" s="1" t="n">
        <v>21</v>
      </c>
      <c r="B44" s="3" t="n">
        <v>2.5</v>
      </c>
    </row>
    <row r="45" ht="15.75" customHeight="1" s="76">
      <c r="A45" s="1" t="n">
        <v>21.5</v>
      </c>
      <c r="B45" s="3" t="n">
        <v>2.5</v>
      </c>
    </row>
    <row r="46" ht="15.75" customHeight="1" s="76">
      <c r="A46" s="1" t="n">
        <v>22</v>
      </c>
      <c r="B46" s="3" t="n">
        <v>2.6</v>
      </c>
    </row>
    <row r="47" ht="15.75" customHeight="1" s="76">
      <c r="A47" s="1" t="n">
        <v>22.5</v>
      </c>
      <c r="B47" s="3" t="n">
        <v>2.6</v>
      </c>
    </row>
    <row r="48" ht="15.75" customHeight="1" s="76">
      <c r="A48" s="1" t="n">
        <v>23</v>
      </c>
      <c r="B48" s="3" t="n">
        <v>2.6</v>
      </c>
    </row>
    <row r="49" ht="15.75" customHeight="1" s="76">
      <c r="A49" s="1" t="n">
        <v>23.5</v>
      </c>
      <c r="B49" s="3" t="n">
        <v>2.7</v>
      </c>
    </row>
    <row r="50" ht="15.75" customHeight="1" s="76">
      <c r="A50" s="1" t="n">
        <v>24</v>
      </c>
      <c r="B50" s="3" t="n">
        <v>2.7</v>
      </c>
    </row>
    <row r="51" ht="15.75" customHeight="1" s="76">
      <c r="A51" s="1" t="n">
        <v>24.5</v>
      </c>
      <c r="B51" s="3" t="n">
        <v>2.8</v>
      </c>
    </row>
    <row r="52" ht="15.75" customHeight="1" s="76">
      <c r="A52" s="1" t="n">
        <v>25</v>
      </c>
      <c r="B52" s="3" t="n">
        <v>2.8</v>
      </c>
    </row>
    <row r="53" ht="15.75" customHeight="1" s="76">
      <c r="A53" s="1" t="n">
        <v>25.5</v>
      </c>
      <c r="B53" s="3" t="n">
        <v>2.8</v>
      </c>
    </row>
    <row r="54" ht="15.75" customHeight="1" s="76">
      <c r="A54" s="1" t="n">
        <v>26</v>
      </c>
      <c r="B54" s="3" t="n">
        <v>2.9</v>
      </c>
    </row>
    <row r="55" ht="15.75" customHeight="1" s="76">
      <c r="A55" s="1" t="n">
        <v>26.5</v>
      </c>
      <c r="B55" s="3" t="n">
        <v>2.9</v>
      </c>
    </row>
    <row r="56" ht="15.75" customHeight="1" s="76">
      <c r="A56" s="1" t="n">
        <v>27</v>
      </c>
      <c r="B56" s="3" t="n">
        <v>2.9</v>
      </c>
    </row>
    <row r="57" ht="15.75" customHeight="1" s="76">
      <c r="A57" s="1" t="n">
        <v>27.5</v>
      </c>
      <c r="B57" s="3" t="n">
        <v>3</v>
      </c>
    </row>
    <row r="58" ht="15.75" customHeight="1" s="76">
      <c r="A58" s="1" t="n">
        <v>28</v>
      </c>
      <c r="B58" s="3" t="n">
        <v>3</v>
      </c>
    </row>
    <row r="59" ht="15.75" customHeight="1" s="76">
      <c r="A59" s="1" t="n">
        <v>28.5</v>
      </c>
      <c r="B59" s="3" t="n">
        <v>3</v>
      </c>
    </row>
    <row r="60" ht="15.75" customHeight="1" s="76">
      <c r="A60" s="1" t="n">
        <v>29</v>
      </c>
      <c r="B60" s="3" t="n">
        <v>3.1</v>
      </c>
    </row>
    <row r="61" ht="15.75" customHeight="1" s="76">
      <c r="A61" s="1" t="n">
        <v>29.5</v>
      </c>
      <c r="B61" s="3" t="n">
        <v>3.1</v>
      </c>
    </row>
    <row r="62" ht="15.75" customHeight="1" s="76">
      <c r="A62" s="1" t="n">
        <v>30</v>
      </c>
      <c r="B62" s="3" t="n">
        <v>3.1</v>
      </c>
    </row>
    <row r="63" ht="15.75" customHeight="1" s="76">
      <c r="A63" s="1" t="n">
        <v>30.5</v>
      </c>
      <c r="B63" s="3" t="n">
        <v>3.2</v>
      </c>
    </row>
    <row r="64" ht="15.75" customHeight="1" s="76">
      <c r="A64" s="1" t="n">
        <v>31</v>
      </c>
      <c r="B64" s="3" t="n">
        <v>3.2</v>
      </c>
    </row>
    <row r="65" ht="15.75" customHeight="1" s="76">
      <c r="A65" s="1" t="n">
        <v>31.5</v>
      </c>
      <c r="B65" s="3" t="n">
        <v>3.3</v>
      </c>
    </row>
    <row r="66" ht="15.75" customHeight="1" s="76">
      <c r="A66" s="1" t="n">
        <v>32</v>
      </c>
      <c r="B66" s="3" t="n">
        <v>3.3</v>
      </c>
    </row>
    <row r="67" ht="15.75" customHeight="1" s="76">
      <c r="A67" s="1" t="n">
        <v>32.5</v>
      </c>
      <c r="B67" s="3" t="n">
        <v>3.3</v>
      </c>
    </row>
    <row r="68" ht="15.75" customHeight="1" s="76">
      <c r="A68" s="1" t="n">
        <v>33</v>
      </c>
      <c r="B68" s="3" t="n">
        <v>3.4</v>
      </c>
    </row>
    <row r="69" ht="15.75" customHeight="1" s="76">
      <c r="A69" s="1" t="n">
        <v>33.5</v>
      </c>
      <c r="B69" s="3" t="n">
        <v>3.4</v>
      </c>
    </row>
    <row r="70" ht="15.75" customHeight="1" s="76">
      <c r="A70" s="1" t="n">
        <v>34</v>
      </c>
      <c r="B70" s="3" t="n">
        <v>3.4</v>
      </c>
    </row>
    <row r="71" ht="15.75" customHeight="1" s="76">
      <c r="A71" s="1" t="n">
        <v>34.5</v>
      </c>
      <c r="B71" s="3" t="n">
        <v>3.5</v>
      </c>
    </row>
    <row r="72" ht="15.75" customHeight="1" s="76">
      <c r="A72" s="1" t="n">
        <v>35</v>
      </c>
      <c r="B72" s="3" t="n">
        <v>3.5</v>
      </c>
    </row>
    <row r="73" ht="15.75" customHeight="1" s="76">
      <c r="A73" s="1" t="n">
        <v>35.5</v>
      </c>
      <c r="B73" s="3" t="n">
        <v>3.5</v>
      </c>
    </row>
    <row r="74" ht="15.75" customHeight="1" s="76">
      <c r="A74" s="1" t="n">
        <v>36</v>
      </c>
      <c r="B74" s="3" t="n">
        <v>3.6</v>
      </c>
    </row>
    <row r="75" ht="15.75" customHeight="1" s="76">
      <c r="A75" s="1" t="n">
        <v>36.5</v>
      </c>
      <c r="B75" s="3" t="n">
        <v>3.6</v>
      </c>
    </row>
    <row r="76" ht="15.75" customHeight="1" s="76">
      <c r="A76" s="1" t="n">
        <v>37</v>
      </c>
      <c r="B76" s="3" t="n">
        <v>3.6</v>
      </c>
    </row>
    <row r="77" ht="15.75" customHeight="1" s="76">
      <c r="A77" s="1" t="n">
        <v>37.5</v>
      </c>
      <c r="B77" s="3" t="n">
        <v>3.7</v>
      </c>
    </row>
    <row r="78" ht="15.75" customHeight="1" s="76">
      <c r="A78" s="1" t="n">
        <v>38</v>
      </c>
      <c r="B78" s="3" t="n">
        <v>3.7</v>
      </c>
    </row>
    <row r="79" ht="15.75" customHeight="1" s="76">
      <c r="A79" s="1" t="n">
        <v>38.5</v>
      </c>
      <c r="B79" s="3" t="n">
        <v>3.8</v>
      </c>
    </row>
    <row r="80" ht="15.75" customHeight="1" s="76">
      <c r="A80" s="1" t="n">
        <v>39</v>
      </c>
      <c r="B80" s="3" t="n">
        <v>3.8</v>
      </c>
    </row>
    <row r="81" ht="15.75" customHeight="1" s="76">
      <c r="A81" s="1" t="n">
        <v>39.5</v>
      </c>
      <c r="B81" s="3" t="n">
        <v>3.8</v>
      </c>
    </row>
    <row r="82" ht="15.75" customHeight="1" s="76">
      <c r="A82" s="1" t="n">
        <v>40</v>
      </c>
      <c r="B82" s="3" t="n">
        <v>3.9</v>
      </c>
    </row>
    <row r="83" ht="15.75" customHeight="1" s="76">
      <c r="A83" s="1" t="n">
        <v>40.5</v>
      </c>
      <c r="B83" s="3" t="n">
        <v>3.9</v>
      </c>
    </row>
    <row r="84" ht="15.75" customHeight="1" s="76">
      <c r="A84" s="1" t="n">
        <v>41</v>
      </c>
      <c r="B84" s="3" t="n">
        <v>3.9</v>
      </c>
    </row>
    <row r="85" ht="15.75" customHeight="1" s="76">
      <c r="A85" s="1" t="n">
        <v>41.5</v>
      </c>
      <c r="B85" s="3" t="n">
        <v>4</v>
      </c>
    </row>
    <row r="86" ht="15.75" customHeight="1" s="76">
      <c r="A86" s="1" t="n">
        <v>42</v>
      </c>
      <c r="B86" s="3" t="n">
        <v>4</v>
      </c>
    </row>
    <row r="87" ht="15.75" customHeight="1" s="76">
      <c r="A87" s="1" t="n">
        <v>42.5</v>
      </c>
      <c r="B87" s="3" t="n">
        <v>4.1</v>
      </c>
    </row>
    <row r="88" ht="15.75" customHeight="1" s="76">
      <c r="A88" s="1" t="n">
        <v>43</v>
      </c>
      <c r="B88" s="3" t="n">
        <v>4.1</v>
      </c>
    </row>
    <row r="89" ht="15.75" customHeight="1" s="76">
      <c r="A89" s="1" t="n">
        <v>43.5</v>
      </c>
      <c r="B89" s="3" t="n">
        <v>4.2</v>
      </c>
    </row>
    <row r="90" ht="15.75" customHeight="1" s="76">
      <c r="A90" s="1" t="n">
        <v>44</v>
      </c>
      <c r="B90" s="3" t="n">
        <v>4.2</v>
      </c>
    </row>
    <row r="91" ht="15.75" customHeight="1" s="76">
      <c r="A91" s="1" t="n">
        <v>44.5</v>
      </c>
      <c r="B91" s="3" t="n">
        <v>4.3</v>
      </c>
    </row>
    <row r="92" ht="15.75" customHeight="1" s="76">
      <c r="A92" s="1" t="n">
        <v>45</v>
      </c>
      <c r="B92" s="3" t="n">
        <v>4.3</v>
      </c>
    </row>
    <row r="93" ht="15.75" customHeight="1" s="76">
      <c r="A93" s="1" t="n">
        <v>45.5</v>
      </c>
      <c r="B93" s="3" t="n">
        <v>4.4</v>
      </c>
    </row>
    <row r="94" ht="15.75" customHeight="1" s="76">
      <c r="A94" s="1" t="n">
        <v>46</v>
      </c>
      <c r="B94" s="3" t="n">
        <v>4.4</v>
      </c>
    </row>
    <row r="95" ht="15.75" customHeight="1" s="76">
      <c r="A95" s="1" t="n">
        <v>46.5</v>
      </c>
      <c r="B95" s="3" t="n">
        <v>4.5</v>
      </c>
    </row>
    <row r="96" ht="15.75" customHeight="1" s="76">
      <c r="A96" s="1" t="n">
        <v>47</v>
      </c>
      <c r="B96" s="3" t="n">
        <v>4.5</v>
      </c>
    </row>
    <row r="97" ht="15.75" customHeight="1" s="76">
      <c r="A97" s="1" t="n">
        <v>47.5</v>
      </c>
      <c r="B97" s="3" t="n">
        <v>4.6</v>
      </c>
    </row>
    <row r="98" ht="15.75" customHeight="1" s="76">
      <c r="A98" s="1" t="n">
        <v>48</v>
      </c>
      <c r="B98" s="3" t="n">
        <v>4.6</v>
      </c>
    </row>
    <row r="99" ht="15.75" customHeight="1" s="76">
      <c r="A99" s="1" t="n">
        <v>48.5</v>
      </c>
      <c r="B99" s="3" t="n">
        <v>4.7</v>
      </c>
    </row>
    <row r="100" ht="15.75" customHeight="1" s="76">
      <c r="A100" s="1" t="n">
        <v>49</v>
      </c>
      <c r="B100" s="3" t="n">
        <v>4.8</v>
      </c>
    </row>
    <row r="101" ht="15.75" customHeight="1" s="76">
      <c r="A101" s="1" t="n">
        <v>49.5</v>
      </c>
      <c r="B101" s="3" t="n">
        <v>4.8</v>
      </c>
    </row>
    <row r="102" ht="15.75" customHeight="1" s="76">
      <c r="A102" s="1" t="n">
        <v>50</v>
      </c>
      <c r="B102" s="3" t="n">
        <v>4.9</v>
      </c>
    </row>
    <row r="103" ht="15.75" customHeight="1" s="76">
      <c r="A103" s="1" t="n">
        <v>50.5</v>
      </c>
      <c r="B103" s="3" t="n">
        <v>4.9</v>
      </c>
    </row>
    <row r="104" ht="15.75" customHeight="1" s="76">
      <c r="A104" s="1" t="n">
        <v>51</v>
      </c>
      <c r="B104" s="3" t="n">
        <v>5</v>
      </c>
    </row>
    <row r="105" ht="15.75" customHeight="1" s="76">
      <c r="A105" s="1" t="n">
        <v>51.5</v>
      </c>
      <c r="B105" s="3" t="n">
        <v>5</v>
      </c>
    </row>
    <row r="106" ht="15.75" customHeight="1" s="76">
      <c r="A106" s="1" t="n">
        <v>52</v>
      </c>
      <c r="B106" s="3" t="n">
        <v>5.1</v>
      </c>
    </row>
    <row r="107" ht="15.75" customHeight="1" s="76">
      <c r="A107" s="1" t="n">
        <v>52.5</v>
      </c>
      <c r="B107" s="3" t="n">
        <v>5.1</v>
      </c>
    </row>
    <row r="108" ht="15.75" customHeight="1" s="76">
      <c r="A108" s="1" t="n">
        <v>53</v>
      </c>
      <c r="B108" s="3" t="n">
        <v>5.2</v>
      </c>
    </row>
    <row r="109" ht="15.75" customHeight="1" s="76">
      <c r="A109" s="1" t="n">
        <v>53.5</v>
      </c>
      <c r="B109" s="3" t="n">
        <v>5.2</v>
      </c>
    </row>
    <row r="110" ht="15.75" customHeight="1" s="76">
      <c r="A110" s="1" t="n">
        <v>54</v>
      </c>
      <c r="B110" s="3" t="n">
        <v>5.3</v>
      </c>
    </row>
    <row r="111" ht="15.75" customHeight="1" s="76">
      <c r="A111" s="1" t="n">
        <v>54.5</v>
      </c>
      <c r="B111" s="3" t="n">
        <v>5.3</v>
      </c>
    </row>
    <row r="112" ht="15.75" customHeight="1" s="76">
      <c r="A112" s="1" t="n">
        <v>55</v>
      </c>
      <c r="B112" s="3" t="n">
        <v>5.4</v>
      </c>
    </row>
    <row r="113" ht="15.75" customHeight="1" s="76">
      <c r="A113" s="1" t="n">
        <v>55.5</v>
      </c>
      <c r="B113" s="3" t="n">
        <v>5.4</v>
      </c>
    </row>
    <row r="114" ht="15.75" customHeight="1" s="76">
      <c r="A114" s="1" t="n">
        <v>56</v>
      </c>
      <c r="B114" s="3" t="n">
        <v>5.5</v>
      </c>
    </row>
    <row r="115" ht="15.75" customHeight="1" s="76">
      <c r="A115" s="1" t="n">
        <v>56.5</v>
      </c>
      <c r="B115" s="3" t="n">
        <v>5.6</v>
      </c>
    </row>
    <row r="116" ht="15.75" customHeight="1" s="76">
      <c r="A116" s="1" t="n">
        <v>57</v>
      </c>
      <c r="B116" s="3" t="n">
        <v>5.6</v>
      </c>
    </row>
    <row r="117" ht="15.75" customHeight="1" s="76">
      <c r="A117" s="1" t="n">
        <v>57.5</v>
      </c>
      <c r="B117" s="3" t="n">
        <v>5.7</v>
      </c>
    </row>
    <row r="118" ht="15.75" customHeight="1" s="76">
      <c r="A118" s="1" t="n">
        <v>58</v>
      </c>
      <c r="B118" s="3" t="n">
        <v>5.7</v>
      </c>
    </row>
    <row r="119" ht="15.75" customHeight="1" s="76">
      <c r="A119" s="1" t="n">
        <v>58.5</v>
      </c>
      <c r="B119" s="3" t="n">
        <v>5.8</v>
      </c>
    </row>
    <row r="120" ht="15.75" customHeight="1" s="76">
      <c r="A120" s="1" t="n">
        <v>59</v>
      </c>
      <c r="B120" s="3" t="n">
        <v>5.8</v>
      </c>
    </row>
    <row r="121" ht="15.75" customHeight="1" s="76">
      <c r="A121" s="1" t="n">
        <v>59.5</v>
      </c>
      <c r="B121" s="3" t="n">
        <v>5.9</v>
      </c>
    </row>
    <row r="122" ht="15.75" customHeight="1" s="76">
      <c r="A122" s="1" t="n">
        <v>60</v>
      </c>
      <c r="B122" s="3" t="n">
        <v>5.9</v>
      </c>
    </row>
    <row r="123" ht="15.75" customHeight="1" s="76">
      <c r="A123" s="1" t="n">
        <v>60.5</v>
      </c>
      <c r="B123" s="3" t="n">
        <v>6</v>
      </c>
    </row>
    <row r="124" ht="15.75" customHeight="1" s="76">
      <c r="A124" s="1" t="n">
        <v>61</v>
      </c>
      <c r="B124" s="3" t="n">
        <v>6</v>
      </c>
    </row>
    <row r="125" ht="15.75" customHeight="1" s="76">
      <c r="A125" s="1" t="n">
        <v>61.5</v>
      </c>
      <c r="B125" s="3" t="n">
        <v>6.1</v>
      </c>
    </row>
    <row r="126" ht="15.75" customHeight="1" s="76">
      <c r="A126" s="1" t="n">
        <v>62</v>
      </c>
      <c r="B126" s="3" t="n">
        <v>6.1</v>
      </c>
    </row>
    <row r="127" ht="15.75" customHeight="1" s="76">
      <c r="A127" s="1" t="n">
        <v>62.5</v>
      </c>
      <c r="B127" s="3" t="n">
        <v>6.2</v>
      </c>
    </row>
    <row r="128" ht="15.75" customHeight="1" s="76">
      <c r="A128" s="1" t="n">
        <v>63</v>
      </c>
      <c r="B128" s="3" t="n">
        <v>6.3</v>
      </c>
    </row>
    <row r="129" ht="15.75" customHeight="1" s="76">
      <c r="A129" s="1" t="n">
        <v>63.5</v>
      </c>
      <c r="B129" s="3" t="n">
        <v>6.3</v>
      </c>
    </row>
    <row r="130" ht="15.75" customHeight="1" s="76">
      <c r="A130" s="1" t="n">
        <v>64</v>
      </c>
      <c r="B130" s="3" t="n">
        <v>6.4</v>
      </c>
    </row>
    <row r="131" ht="15.75" customHeight="1" s="76">
      <c r="A131" s="1" t="n">
        <v>64.5</v>
      </c>
      <c r="B131" s="3" t="n">
        <v>6.4</v>
      </c>
    </row>
    <row r="132" ht="15.75" customHeight="1" s="76">
      <c r="A132" s="1" t="n">
        <v>65</v>
      </c>
      <c r="B132" s="3" t="n">
        <v>6.5</v>
      </c>
    </row>
    <row r="133" ht="15.75" customHeight="1" s="76">
      <c r="A133" s="1" t="n">
        <v>65.5</v>
      </c>
      <c r="B133" s="3" t="n">
        <v>6.5</v>
      </c>
    </row>
    <row r="134" ht="15.75" customHeight="1" s="76">
      <c r="A134" s="1" t="n">
        <v>66</v>
      </c>
      <c r="B134" s="3" t="n">
        <v>6.6</v>
      </c>
    </row>
    <row r="135" ht="15.75" customHeight="1" s="76">
      <c r="A135" s="1" t="n">
        <v>66.5</v>
      </c>
      <c r="B135" s="3" t="n">
        <v>6.6</v>
      </c>
    </row>
    <row r="136" ht="15.75" customHeight="1" s="76">
      <c r="A136" s="1" t="n">
        <v>67</v>
      </c>
      <c r="B136" s="3" t="n">
        <v>6.7</v>
      </c>
    </row>
    <row r="137" ht="15.75" customHeight="1" s="76">
      <c r="A137" s="1" t="n">
        <v>67.5</v>
      </c>
      <c r="B137" s="3" t="n">
        <v>6.7</v>
      </c>
    </row>
    <row r="138" ht="15.75" customHeight="1" s="76">
      <c r="A138" s="1" t="n">
        <v>68</v>
      </c>
      <c r="B138" s="3" t="n">
        <v>6.8</v>
      </c>
    </row>
    <row r="139" ht="15.75" customHeight="1" s="76">
      <c r="A139" s="1" t="n">
        <v>68.5</v>
      </c>
      <c r="B139" s="3" t="n">
        <v>6.8</v>
      </c>
    </row>
    <row r="140" ht="15.75" customHeight="1" s="76">
      <c r="A140" s="1" t="n">
        <v>69</v>
      </c>
      <c r="B140" s="3" t="n">
        <v>6.9</v>
      </c>
    </row>
    <row r="141" ht="15.75" customHeight="1" s="76">
      <c r="A141" s="1" t="n">
        <v>69.5</v>
      </c>
      <c r="B141" s="3" t="n">
        <v>6.9</v>
      </c>
    </row>
    <row r="142" ht="15.75" customHeight="1" s="76">
      <c r="A142" s="1" t="n">
        <v>70</v>
      </c>
      <c r="B142" s="3" t="n">
        <v>7</v>
      </c>
    </row>
    <row r="143" ht="15.75" customHeight="1" s="76"/>
    <row r="144" ht="15.75" customHeight="1" s="76"/>
    <row r="145" ht="15.75" customHeight="1" s="76"/>
    <row r="146" ht="15.75" customHeight="1" s="76"/>
    <row r="147" ht="15.75" customHeight="1" s="76"/>
    <row r="148" ht="15.75" customHeight="1" s="76"/>
    <row r="149" ht="15.75" customHeight="1" s="76"/>
    <row r="150" ht="15.75" customHeight="1" s="76"/>
    <row r="151" ht="15.75" customHeight="1" s="76"/>
    <row r="152" ht="15.75" customHeight="1" s="76"/>
    <row r="153" ht="15.75" customHeight="1" s="76"/>
    <row r="154" ht="15.75" customHeight="1" s="76"/>
    <row r="155" ht="15.75" customHeight="1" s="76"/>
    <row r="156" ht="15.75" customHeight="1" s="76"/>
    <row r="157" ht="15.75" customHeight="1" s="76"/>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ColWidth="14.43" defaultRowHeight="15" customHeight="1" outlineLevelRow="1"/>
  <cols>
    <col width="10.71" customWidth="1" style="76" min="1" max="6"/>
  </cols>
  <sheetData>
    <row r="1">
      <c r="A1" s="1" t="inlineStr">
        <is>
          <t>PUNTOS</t>
        </is>
      </c>
      <c r="B1" s="1" t="inlineStr">
        <is>
          <t>NOTA</t>
        </is>
      </c>
    </row>
    <row r="2">
      <c r="A2" s="1" t="n">
        <v>0</v>
      </c>
      <c r="B2" s="6" t="n">
        <v>1</v>
      </c>
    </row>
    <row r="3">
      <c r="A3" s="1" t="n">
        <v>1</v>
      </c>
      <c r="B3" s="6" t="n">
        <v>1.1</v>
      </c>
    </row>
    <row r="4">
      <c r="A4" s="1" t="n">
        <v>2</v>
      </c>
      <c r="B4" s="6" t="n">
        <v>1.2</v>
      </c>
    </row>
    <row r="5">
      <c r="A5" s="1" t="n">
        <v>3</v>
      </c>
      <c r="B5" s="6" t="n">
        <v>1.3</v>
      </c>
    </row>
    <row r="6">
      <c r="A6" s="1" t="n">
        <v>4</v>
      </c>
      <c r="B6" s="6" t="n">
        <v>1.4</v>
      </c>
    </row>
    <row r="7">
      <c r="A7" s="1" t="n">
        <v>5</v>
      </c>
      <c r="B7" s="6" t="n">
        <v>1.5</v>
      </c>
    </row>
    <row r="8">
      <c r="A8" s="1" t="n">
        <v>6</v>
      </c>
      <c r="B8" s="6" t="n">
        <v>1.6</v>
      </c>
    </row>
    <row r="9">
      <c r="A9" s="1" t="n">
        <v>7</v>
      </c>
      <c r="B9" s="6" t="n">
        <v>1.7</v>
      </c>
    </row>
    <row r="10">
      <c r="A10" s="1" t="n">
        <v>8</v>
      </c>
      <c r="B10" s="6" t="n">
        <v>1.8</v>
      </c>
    </row>
    <row r="11">
      <c r="A11" s="1" t="n">
        <v>9</v>
      </c>
      <c r="B11" s="6" t="n">
        <v>1.9</v>
      </c>
    </row>
    <row r="12">
      <c r="A12" s="1" t="n">
        <v>10</v>
      </c>
      <c r="B12" s="6" t="n">
        <v>2</v>
      </c>
    </row>
    <row r="13">
      <c r="A13" s="1" t="n">
        <v>11</v>
      </c>
      <c r="B13" s="6" t="n">
        <v>2.1</v>
      </c>
    </row>
    <row r="14">
      <c r="A14" s="1" t="n">
        <v>12</v>
      </c>
      <c r="B14" s="6" t="n">
        <v>2.2</v>
      </c>
    </row>
    <row r="15">
      <c r="A15" s="1" t="n">
        <v>13</v>
      </c>
      <c r="B15" s="6" t="n">
        <v>2.3</v>
      </c>
    </row>
    <row r="16">
      <c r="A16" s="1" t="n">
        <v>14</v>
      </c>
      <c r="B16" s="6" t="n">
        <v>2.3</v>
      </c>
    </row>
    <row r="17">
      <c r="A17" s="1" t="n">
        <v>15</v>
      </c>
      <c r="B17" s="6" t="n">
        <v>2.4</v>
      </c>
    </row>
    <row r="18">
      <c r="A18" s="1" t="n">
        <v>16</v>
      </c>
      <c r="B18" s="6" t="n">
        <v>2.5</v>
      </c>
    </row>
    <row r="19">
      <c r="A19" s="1" t="n">
        <v>17</v>
      </c>
      <c r="B19" s="6" t="n">
        <v>2.6</v>
      </c>
    </row>
    <row r="20">
      <c r="A20" s="1" t="n">
        <v>18</v>
      </c>
      <c r="B20" s="6" t="n">
        <v>2.7</v>
      </c>
    </row>
    <row r="21" ht="15.75" customHeight="1" s="76">
      <c r="A21" s="1" t="n">
        <v>19</v>
      </c>
      <c r="B21" s="6" t="n">
        <v>2.8</v>
      </c>
    </row>
    <row r="22" ht="15.75" customHeight="1" s="76">
      <c r="A22" s="1" t="n">
        <v>20</v>
      </c>
      <c r="B22" s="6" t="n">
        <v>2.9</v>
      </c>
    </row>
    <row r="23" ht="15.75" customHeight="1" s="76">
      <c r="A23" s="1" t="n">
        <v>21</v>
      </c>
      <c r="B23" s="6" t="n">
        <v>3</v>
      </c>
    </row>
    <row r="24" ht="15.75" customHeight="1" s="76">
      <c r="A24" s="1" t="n">
        <v>22</v>
      </c>
      <c r="B24" s="6" t="n">
        <v>3.1</v>
      </c>
    </row>
    <row r="25" ht="15.75" customHeight="1" s="76">
      <c r="A25" s="1" t="n">
        <v>23</v>
      </c>
      <c r="B25" s="6" t="n">
        <v>3.2</v>
      </c>
    </row>
    <row r="26" ht="15.75" customHeight="1" s="76">
      <c r="A26" s="1" t="n">
        <v>24</v>
      </c>
      <c r="B26" s="6" t="n">
        <v>3.3</v>
      </c>
    </row>
    <row r="27" ht="15.75" customHeight="1" s="76">
      <c r="A27" s="1" t="n">
        <v>25</v>
      </c>
      <c r="B27" s="6" t="n">
        <v>3.4</v>
      </c>
    </row>
    <row r="28" ht="15.75" customHeight="1" s="76">
      <c r="A28" s="1" t="n">
        <v>26</v>
      </c>
      <c r="B28" s="6" t="n">
        <v>3.5</v>
      </c>
    </row>
    <row r="29" ht="15.75" customHeight="1" s="76">
      <c r="A29" s="1" t="n">
        <v>27</v>
      </c>
      <c r="B29" s="6" t="n">
        <v>3.6</v>
      </c>
    </row>
    <row r="30" ht="15.75" customHeight="1" s="76">
      <c r="A30" s="1" t="n">
        <v>28</v>
      </c>
      <c r="B30" s="6" t="n">
        <v>3.7</v>
      </c>
    </row>
    <row r="31" ht="15.75" customHeight="1" s="76">
      <c r="A31" s="1" t="n">
        <v>29</v>
      </c>
      <c r="B31" s="6" t="n">
        <v>3.8</v>
      </c>
    </row>
    <row r="32" ht="15.75" customHeight="1" s="76">
      <c r="A32" s="1" t="n">
        <v>30</v>
      </c>
      <c r="B32" s="6" t="n">
        <v>3.9</v>
      </c>
    </row>
    <row r="33" ht="15.75" customHeight="1" s="76">
      <c r="A33" s="1" t="n">
        <v>31</v>
      </c>
      <c r="B33" s="6" t="n">
        <v>4</v>
      </c>
    </row>
    <row r="34" ht="15.75" customHeight="1" s="76">
      <c r="A34" s="1" t="n">
        <v>32</v>
      </c>
      <c r="B34" s="6" t="n">
        <v>4.1</v>
      </c>
    </row>
    <row r="35" ht="15.75" customHeight="1" s="76">
      <c r="A35" s="1" t="n">
        <v>33</v>
      </c>
      <c r="B35" s="6" t="n">
        <v>4.3</v>
      </c>
    </row>
    <row r="36" ht="15.75" customHeight="1" s="76">
      <c r="A36" s="1" t="n">
        <v>34</v>
      </c>
      <c r="B36" s="6" t="n">
        <v>4.4</v>
      </c>
    </row>
    <row r="37" ht="15.75" customHeight="1" s="76">
      <c r="A37" s="1" t="n">
        <v>35</v>
      </c>
      <c r="B37" s="6" t="n">
        <v>4.5</v>
      </c>
    </row>
    <row r="38" ht="15.75" customHeight="1" s="76">
      <c r="A38" s="1" t="n">
        <v>36</v>
      </c>
      <c r="B38" s="6" t="n">
        <v>4.7</v>
      </c>
    </row>
    <row r="39" ht="15.75" customHeight="1" s="76">
      <c r="A39" s="1" t="n">
        <v>37</v>
      </c>
      <c r="B39" s="6" t="n">
        <v>4.8</v>
      </c>
    </row>
    <row r="40" ht="15.75" customHeight="1" s="76">
      <c r="A40" s="1" t="n">
        <v>38</v>
      </c>
      <c r="B40" s="6" t="n">
        <v>5</v>
      </c>
    </row>
    <row r="41" ht="15.75" customHeight="1" s="76">
      <c r="A41" s="1" t="n">
        <v>39</v>
      </c>
      <c r="B41" s="6" t="n">
        <v>5.1</v>
      </c>
    </row>
    <row r="42" ht="15.75" customHeight="1" s="76">
      <c r="A42" s="1" t="n">
        <v>40</v>
      </c>
      <c r="B42" s="6" t="n">
        <v>5.3</v>
      </c>
    </row>
    <row r="43" ht="15.75" customHeight="1" s="76">
      <c r="A43" s="1" t="n">
        <v>41</v>
      </c>
      <c r="B43" s="6" t="n">
        <v>5.4</v>
      </c>
    </row>
    <row r="44" ht="15.75" customHeight="1" s="76">
      <c r="A44" s="1" t="n">
        <v>42</v>
      </c>
      <c r="B44" s="6" t="n">
        <v>5.6</v>
      </c>
    </row>
    <row r="45" ht="15.75" customHeight="1" s="76">
      <c r="A45" s="1" t="n">
        <v>43</v>
      </c>
      <c r="B45" s="6" t="n">
        <v>5.7</v>
      </c>
    </row>
    <row r="46" ht="15.75" customHeight="1" s="76">
      <c r="A46" s="1" t="n">
        <v>44</v>
      </c>
      <c r="B46" s="6" t="n">
        <v>5.8</v>
      </c>
    </row>
    <row r="47" ht="15.75" customHeight="1" s="76">
      <c r="A47" s="1" t="n">
        <v>45</v>
      </c>
      <c r="B47" s="6" t="n">
        <v>6</v>
      </c>
    </row>
    <row r="48" ht="15.75" customHeight="1" s="76">
      <c r="A48" s="1" t="n">
        <v>46</v>
      </c>
      <c r="B48" s="6" t="n">
        <v>6.1</v>
      </c>
    </row>
    <row r="49" ht="15.75" customHeight="1" s="76">
      <c r="A49" s="1" t="n">
        <v>47</v>
      </c>
      <c r="B49" s="6" t="n">
        <v>6.3</v>
      </c>
    </row>
    <row r="50" ht="15.75" customHeight="1" s="76">
      <c r="A50" s="1" t="n">
        <v>48</v>
      </c>
      <c r="B50" s="6" t="n">
        <v>6.4</v>
      </c>
    </row>
    <row r="51" ht="15.75" customHeight="1" s="76">
      <c r="A51" s="1" t="n">
        <v>49</v>
      </c>
      <c r="B51" s="6" t="n">
        <v>6.6</v>
      </c>
    </row>
    <row r="52" ht="15.75" customHeight="1" s="76">
      <c r="A52" s="1" t="n">
        <v>50</v>
      </c>
      <c r="B52" s="6" t="n">
        <v>6.7</v>
      </c>
    </row>
    <row r="53" ht="15.75" customHeight="1" s="76">
      <c r="A53" s="1" t="n">
        <v>51</v>
      </c>
      <c r="B53" s="6" t="n">
        <v>6.9</v>
      </c>
    </row>
    <row r="54" ht="15.75" customHeight="1" s="76">
      <c r="A54" s="1" t="n">
        <v>52</v>
      </c>
      <c r="B54" s="6" t="n">
        <v>7</v>
      </c>
    </row>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row r="101" ht="15.75" customHeight="1" s="76"/>
    <row r="102" ht="15.75" customHeight="1" s="76"/>
    <row r="103" ht="15.75" customHeight="1" s="76"/>
    <row r="104" ht="15.75" customHeight="1" s="76"/>
    <row r="105" ht="15.75" customHeight="1" s="76"/>
    <row r="106" ht="15.75" customHeight="1" s="76"/>
    <row r="107" ht="15.75" customHeight="1" s="76"/>
    <row r="108" ht="15.75" customHeight="1" s="76"/>
    <row r="109" ht="15.75" customHeight="1" s="76"/>
    <row r="110" ht="15.75" customHeight="1" s="76"/>
    <row r="111" ht="15.75" customHeight="1" s="76"/>
    <row r="112" ht="15.75" customHeight="1" s="76"/>
    <row r="113" ht="15.75" customHeight="1" s="76"/>
    <row r="114" ht="15.75" customHeight="1" s="76"/>
    <row r="115" ht="15.75" customHeight="1" s="76"/>
    <row r="116" ht="15.75" customHeight="1" s="76"/>
    <row r="117" ht="15.75" customHeight="1" s="76"/>
    <row r="118" ht="15.75" customHeight="1" s="76"/>
    <row r="119" ht="15.75" customHeight="1" s="76"/>
    <row r="120" ht="15.75" customHeight="1" s="76"/>
    <row r="121" ht="15.75" customHeight="1" s="76"/>
    <row r="122" ht="15.75" customHeight="1" s="76"/>
    <row r="123" ht="15.75" customHeight="1" s="76"/>
    <row r="124" ht="15.75" customHeight="1" s="76"/>
    <row r="125" ht="15.75" customHeight="1" s="76"/>
    <row r="126" ht="15.75" customHeight="1" s="76"/>
    <row r="127" ht="15.75" customHeight="1" s="76"/>
    <row r="128" ht="15.75" customHeight="1" s="76"/>
    <row r="129" ht="15.75" customHeight="1" s="76"/>
    <row r="130" ht="15.75" customHeight="1" s="76"/>
    <row r="131" ht="15.75" customHeight="1" s="76"/>
    <row r="132" ht="15.75" customHeight="1" s="76"/>
    <row r="133" ht="15.75" customHeight="1" s="76"/>
    <row r="134" ht="15.75" customHeight="1" s="76"/>
    <row r="135" ht="15.75" customHeight="1" s="76"/>
    <row r="136" ht="15.75" customHeight="1" s="76"/>
    <row r="137" ht="15.75" customHeight="1" s="76"/>
    <row r="138" ht="15.75" customHeight="1" s="76"/>
    <row r="139" ht="15.75" customHeight="1" s="76"/>
    <row r="140" ht="15.75" customHeight="1" s="76"/>
    <row r="141" ht="15.75" customHeight="1" s="76"/>
    <row r="142" ht="15.75" customHeight="1" s="76"/>
    <row r="143" ht="15.75" customHeight="1" s="76"/>
    <row r="144" ht="15.75" customHeight="1" s="76"/>
    <row r="145" ht="15.75" customHeight="1" s="76"/>
    <row r="146" ht="15.75" customHeight="1" s="76"/>
    <row r="147" ht="15.75" customHeight="1" s="76"/>
    <row r="148" ht="15.75" customHeight="1" s="76"/>
    <row r="149" ht="15.75" customHeight="1" s="76"/>
    <row r="150" ht="15.75" customHeight="1" s="76"/>
    <row r="151" ht="15.75" customHeight="1" s="76"/>
    <row r="152" ht="15.75" customHeight="1" s="76"/>
    <row r="153" ht="15.75" customHeight="1" s="76"/>
    <row r="154" ht="15.75" customHeight="1" s="76"/>
    <row r="155" ht="15.75" customHeight="1" s="76"/>
    <row r="156" ht="15.75" customHeight="1" s="76"/>
    <row r="157" ht="15.75" customHeight="1" s="76"/>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ColWidth="14.43" defaultRowHeight="15" customHeight="1" outlineLevelRow="1"/>
  <cols>
    <col width="10.71" customWidth="1" style="76" min="1" max="6"/>
  </cols>
  <sheetData>
    <row r="1">
      <c r="A1" s="1" t="inlineStr">
        <is>
          <t>Puntaje</t>
        </is>
      </c>
      <c r="B1" s="1" t="inlineStr">
        <is>
          <t>Nota</t>
        </is>
      </c>
    </row>
    <row r="2">
      <c r="A2" s="1" t="n">
        <v>0</v>
      </c>
      <c r="B2" s="3" t="n">
        <v>1</v>
      </c>
    </row>
    <row r="3">
      <c r="A3" s="1" t="n">
        <v>0.5</v>
      </c>
      <c r="B3" s="3" t="n">
        <v>1.1</v>
      </c>
    </row>
    <row r="4">
      <c r="A4" s="1" t="n">
        <v>1</v>
      </c>
      <c r="B4" s="3" t="n">
        <v>1.2</v>
      </c>
    </row>
    <row r="5">
      <c r="A5" s="1" t="n">
        <v>1.5</v>
      </c>
      <c r="B5" s="3" t="n">
        <v>1.3</v>
      </c>
    </row>
    <row r="6">
      <c r="A6" s="1" t="n">
        <v>2</v>
      </c>
      <c r="B6" s="3" t="n">
        <v>1.3</v>
      </c>
    </row>
    <row r="7">
      <c r="A7" s="1" t="n">
        <v>2.5</v>
      </c>
      <c r="B7" s="3" t="n">
        <v>1.4</v>
      </c>
    </row>
    <row r="8">
      <c r="A8" s="1" t="n">
        <v>3</v>
      </c>
      <c r="B8" s="3" t="n">
        <v>1.5</v>
      </c>
    </row>
    <row r="9">
      <c r="A9" s="1" t="n">
        <v>3.5</v>
      </c>
      <c r="B9" s="3" t="n">
        <v>1.6</v>
      </c>
    </row>
    <row r="10">
      <c r="A10" s="1" t="n">
        <v>4</v>
      </c>
      <c r="B10" s="3" t="n">
        <v>1.7</v>
      </c>
    </row>
    <row r="11">
      <c r="A11" s="1" t="n">
        <v>4.5</v>
      </c>
      <c r="B11" s="3" t="n">
        <v>1.8</v>
      </c>
    </row>
    <row r="12">
      <c r="A12" s="1" t="n">
        <v>5</v>
      </c>
      <c r="B12" s="3" t="n">
        <v>1.8</v>
      </c>
    </row>
    <row r="13">
      <c r="A13" s="1" t="n">
        <v>5.5</v>
      </c>
      <c r="B13" s="3" t="n">
        <v>1.9</v>
      </c>
    </row>
    <row r="14">
      <c r="A14" s="1" t="n">
        <v>6</v>
      </c>
      <c r="B14" s="3" t="n">
        <v>2</v>
      </c>
    </row>
    <row r="15">
      <c r="A15" s="1" t="n">
        <v>6.5</v>
      </c>
      <c r="B15" s="3" t="n">
        <v>2.1</v>
      </c>
    </row>
    <row r="16">
      <c r="A16" s="1" t="n">
        <v>7</v>
      </c>
      <c r="B16" s="3" t="n">
        <v>2.2</v>
      </c>
    </row>
    <row r="17">
      <c r="A17" s="1" t="n">
        <v>7.5</v>
      </c>
      <c r="B17" s="3" t="n">
        <v>2.3</v>
      </c>
    </row>
    <row r="18">
      <c r="A18" s="1" t="n">
        <v>8</v>
      </c>
      <c r="B18" s="3" t="n">
        <v>2.3</v>
      </c>
    </row>
    <row r="19">
      <c r="A19" s="1" t="n">
        <v>8.5</v>
      </c>
      <c r="B19" s="3" t="n">
        <v>2.4</v>
      </c>
    </row>
    <row r="20">
      <c r="A20" s="1" t="n">
        <v>9</v>
      </c>
      <c r="B20" s="3" t="n">
        <v>2.5</v>
      </c>
    </row>
    <row r="21" ht="15.75" customHeight="1" s="76">
      <c r="A21" s="1" t="n">
        <v>9.5</v>
      </c>
      <c r="B21" s="3" t="n">
        <v>2.6</v>
      </c>
    </row>
    <row r="22" ht="15.75" customHeight="1" s="76">
      <c r="A22" s="1" t="n">
        <v>10</v>
      </c>
      <c r="B22" s="3" t="n">
        <v>2.7</v>
      </c>
    </row>
    <row r="23" ht="15.75" customHeight="1" s="76">
      <c r="A23" s="1" t="n">
        <v>10.5</v>
      </c>
      <c r="B23" s="3" t="n">
        <v>2.8</v>
      </c>
    </row>
    <row r="24" ht="15.75" customHeight="1" s="76">
      <c r="A24" s="1" t="n">
        <v>11</v>
      </c>
      <c r="B24" s="3" t="n">
        <v>2.8</v>
      </c>
    </row>
    <row r="25" ht="15.75" customHeight="1" s="76">
      <c r="A25" s="1" t="n">
        <v>11.5</v>
      </c>
      <c r="B25" s="3" t="n">
        <v>2.9</v>
      </c>
    </row>
    <row r="26" ht="15.75" customHeight="1" s="76">
      <c r="A26" s="1" t="n">
        <v>12</v>
      </c>
      <c r="B26" s="3" t="n">
        <v>3</v>
      </c>
    </row>
    <row r="27" ht="15.75" customHeight="1" s="76">
      <c r="A27" s="1" t="n">
        <v>12.5</v>
      </c>
      <c r="B27" s="3" t="n">
        <v>3.1</v>
      </c>
    </row>
    <row r="28" ht="15.75" customHeight="1" s="76">
      <c r="A28" s="1" t="n">
        <v>13</v>
      </c>
      <c r="B28" s="3" t="n">
        <v>3.2</v>
      </c>
    </row>
    <row r="29" ht="15.75" customHeight="1" s="76">
      <c r="A29" s="1" t="n">
        <v>13.5</v>
      </c>
      <c r="B29" s="3" t="n">
        <v>3.3</v>
      </c>
    </row>
    <row r="30" ht="15.75" customHeight="1" s="76">
      <c r="A30" s="1" t="n">
        <v>14</v>
      </c>
      <c r="B30" s="3" t="n">
        <v>3.3</v>
      </c>
    </row>
    <row r="31" ht="15.75" customHeight="1" s="76">
      <c r="A31" s="1" t="n">
        <v>14.5</v>
      </c>
      <c r="B31" s="3" t="n">
        <v>3.4</v>
      </c>
    </row>
    <row r="32" ht="15.75" customHeight="1" s="76">
      <c r="A32" s="1" t="n">
        <v>15</v>
      </c>
      <c r="B32" s="3" t="n">
        <v>3.5</v>
      </c>
    </row>
    <row r="33" ht="15.75" customHeight="1" s="76">
      <c r="A33" s="1" t="n">
        <v>15.5</v>
      </c>
      <c r="B33" s="3" t="n">
        <v>3.6</v>
      </c>
    </row>
    <row r="34" ht="15.75" customHeight="1" s="76">
      <c r="A34" s="1" t="n">
        <v>16</v>
      </c>
      <c r="B34" s="3" t="n">
        <v>3.7</v>
      </c>
    </row>
    <row r="35" ht="15.75" customHeight="1" s="76">
      <c r="A35" s="1" t="n">
        <v>16.5</v>
      </c>
      <c r="B35" s="3" t="n">
        <v>3.8</v>
      </c>
    </row>
    <row r="36" ht="15.75" customHeight="1" s="76">
      <c r="A36" s="1" t="n">
        <v>17</v>
      </c>
      <c r="B36" s="3" t="n">
        <v>3.8</v>
      </c>
    </row>
    <row r="37" ht="15.75" customHeight="1" s="76">
      <c r="A37" s="1" t="n">
        <v>17.5</v>
      </c>
      <c r="B37" s="3" t="n">
        <v>3.9</v>
      </c>
    </row>
    <row r="38" ht="15.75" customHeight="1" s="76">
      <c r="A38" s="1" t="n">
        <v>18</v>
      </c>
      <c r="B38" s="3" t="n">
        <v>4</v>
      </c>
    </row>
    <row r="39" ht="15.75" customHeight="1" s="76">
      <c r="A39" s="1" t="n">
        <v>18.5</v>
      </c>
      <c r="B39" s="3" t="n">
        <v>4.1</v>
      </c>
    </row>
    <row r="40" ht="15.75" customHeight="1" s="76">
      <c r="A40" s="1" t="n">
        <v>19</v>
      </c>
      <c r="B40" s="3" t="n">
        <v>4.3</v>
      </c>
    </row>
    <row r="41" ht="15.75" customHeight="1" s="76">
      <c r="A41" s="1" t="n">
        <v>19.5</v>
      </c>
      <c r="B41" s="3" t="n">
        <v>4.4</v>
      </c>
    </row>
    <row r="42" ht="15.75" customHeight="1" s="76">
      <c r="A42" s="1" t="n">
        <v>20</v>
      </c>
      <c r="B42" s="3" t="n">
        <v>4.5</v>
      </c>
    </row>
    <row r="43" ht="15.75" customHeight="1" s="76">
      <c r="A43" s="1" t="n">
        <v>20.5</v>
      </c>
      <c r="B43" s="3" t="n">
        <v>4.6</v>
      </c>
    </row>
    <row r="44" ht="15.75" customHeight="1" s="76">
      <c r="A44" s="1" t="n">
        <v>21</v>
      </c>
      <c r="B44" s="3" t="n">
        <v>4.8</v>
      </c>
    </row>
    <row r="45" ht="15.75" customHeight="1" s="76">
      <c r="A45" s="1" t="n">
        <v>21.5</v>
      </c>
      <c r="B45" s="3" t="n">
        <v>4.9</v>
      </c>
    </row>
    <row r="46" ht="15.75" customHeight="1" s="76">
      <c r="A46" s="1" t="n">
        <v>22</v>
      </c>
      <c r="B46" s="3" t="n">
        <v>5</v>
      </c>
    </row>
    <row r="47" ht="15.75" customHeight="1" s="76">
      <c r="A47" s="1" t="n">
        <v>22.5</v>
      </c>
      <c r="B47" s="3" t="n">
        <v>5.1</v>
      </c>
    </row>
    <row r="48" ht="15.75" customHeight="1" s="76">
      <c r="A48" s="1" t="n">
        <v>23</v>
      </c>
      <c r="B48" s="3" t="n">
        <v>5.3</v>
      </c>
    </row>
    <row r="49" ht="15.75" customHeight="1" s="76">
      <c r="A49" s="1" t="n">
        <v>23.5</v>
      </c>
      <c r="B49" s="3" t="n">
        <v>5.4</v>
      </c>
    </row>
    <row r="50" ht="15.75" customHeight="1" s="76">
      <c r="A50" s="1" t="n">
        <v>24</v>
      </c>
      <c r="B50" s="3" t="n">
        <v>5.5</v>
      </c>
    </row>
    <row r="51" ht="15.75" customHeight="1" s="76">
      <c r="A51" s="1" t="n">
        <v>24.5</v>
      </c>
      <c r="B51" s="3" t="n">
        <v>5.6</v>
      </c>
    </row>
    <row r="52" ht="15.75" customHeight="1" s="76">
      <c r="A52" s="1" t="n">
        <v>25</v>
      </c>
      <c r="B52" s="3" t="n">
        <v>5.8</v>
      </c>
    </row>
    <row r="53" ht="15.75" customHeight="1" s="76">
      <c r="A53" s="1" t="n">
        <v>25.5</v>
      </c>
      <c r="B53" s="3" t="n">
        <v>5.9</v>
      </c>
    </row>
    <row r="54" ht="15.75" customHeight="1" s="76">
      <c r="A54" s="1" t="n">
        <v>26</v>
      </c>
      <c r="B54" s="3" t="n">
        <v>6</v>
      </c>
    </row>
    <row r="55" ht="15.75" customHeight="1" s="76">
      <c r="A55" s="1" t="n">
        <v>26.5</v>
      </c>
      <c r="B55" s="3" t="n">
        <v>6.1</v>
      </c>
    </row>
    <row r="56" ht="15.75" customHeight="1" s="76">
      <c r="A56" s="1" t="n">
        <v>27</v>
      </c>
      <c r="B56" s="3" t="n">
        <v>6.3</v>
      </c>
    </row>
    <row r="57" ht="15.75" customHeight="1" s="76">
      <c r="A57" s="1" t="n">
        <v>27.5</v>
      </c>
      <c r="B57" s="3" t="n">
        <v>6.4</v>
      </c>
    </row>
    <row r="58" ht="15.75" customHeight="1" s="76">
      <c r="A58" s="1" t="n">
        <v>28</v>
      </c>
      <c r="B58" s="3" t="n">
        <v>6.5</v>
      </c>
    </row>
    <row r="59" ht="15.75" customHeight="1" s="76">
      <c r="A59" s="1" t="n">
        <v>28.5</v>
      </c>
      <c r="B59" s="3" t="n">
        <v>6.6</v>
      </c>
    </row>
    <row r="60" ht="15.75" customHeight="1" s="76">
      <c r="A60" s="1" t="n">
        <v>29</v>
      </c>
      <c r="B60" s="3" t="n">
        <v>6.8</v>
      </c>
    </row>
    <row r="61" ht="15.75" customHeight="1" s="76">
      <c r="A61" s="1" t="n">
        <v>29.5</v>
      </c>
      <c r="B61" s="3" t="n">
        <v>6.9</v>
      </c>
    </row>
    <row r="62" ht="15.75" customHeight="1" s="76">
      <c r="A62" s="1" t="n">
        <v>30</v>
      </c>
      <c r="B62" s="3" t="n">
        <v>7</v>
      </c>
    </row>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row r="101" ht="15.75" customHeight="1" s="76"/>
    <row r="102" ht="15.75" customHeight="1" s="76"/>
    <row r="103" ht="15.75" customHeight="1" s="76"/>
    <row r="104" ht="15.75" customHeight="1" s="76"/>
    <row r="105" ht="15.75" customHeight="1" s="76"/>
    <row r="106" ht="15.75" customHeight="1" s="76"/>
    <row r="107" ht="15.75" customHeight="1" s="76"/>
    <row r="108" ht="15.75" customHeight="1" s="76"/>
    <row r="109" ht="15.75" customHeight="1" s="76"/>
    <row r="110" ht="15.75" customHeight="1" s="76"/>
    <row r="111" ht="15.75" customHeight="1" s="76"/>
    <row r="112" ht="15.75" customHeight="1" s="76"/>
    <row r="113" ht="15.75" customHeight="1" s="76"/>
    <row r="114" ht="15.75" customHeight="1" s="76"/>
    <row r="115" ht="15.75" customHeight="1" s="76"/>
    <row r="116" ht="15.75" customHeight="1" s="76"/>
    <row r="117" ht="15.75" customHeight="1" s="76"/>
    <row r="118" ht="15.75" customHeight="1" s="76"/>
    <row r="119" ht="15.75" customHeight="1" s="76"/>
    <row r="120" ht="15.75" customHeight="1" s="76"/>
    <row r="121" ht="15.75" customHeight="1" s="76"/>
    <row r="122" ht="15.75" customHeight="1" s="76"/>
    <row r="123" ht="15.75" customHeight="1" s="76"/>
    <row r="124" ht="15.75" customHeight="1" s="76"/>
    <row r="125" ht="15.75" customHeight="1" s="76"/>
    <row r="126" ht="15.75" customHeight="1" s="76"/>
    <row r="127" ht="15.75" customHeight="1" s="76"/>
    <row r="128" ht="15.75" customHeight="1" s="76"/>
    <row r="129" ht="15.75" customHeight="1" s="76"/>
    <row r="130" ht="15.75" customHeight="1" s="76"/>
    <row r="131" ht="15.75" customHeight="1" s="76"/>
    <row r="132" ht="15.75" customHeight="1" s="76"/>
    <row r="133" ht="15.75" customHeight="1" s="76"/>
    <row r="134" ht="15.75" customHeight="1" s="76"/>
    <row r="135" ht="15.75" customHeight="1" s="76"/>
    <row r="136" ht="15.75" customHeight="1" s="76"/>
    <row r="137" ht="15.75" customHeight="1" s="76"/>
    <row r="138" ht="15.75" customHeight="1" s="76"/>
    <row r="139" ht="15.75" customHeight="1" s="76"/>
    <row r="140" ht="15.75" customHeight="1" s="76"/>
    <row r="141" ht="15.75" customHeight="1" s="76"/>
    <row r="142" ht="15.75" customHeight="1" s="76"/>
    <row r="143" ht="15.75" customHeight="1" s="76"/>
    <row r="144" ht="15.75" customHeight="1" s="76"/>
    <row r="145" ht="15.75" customHeight="1" s="76"/>
    <row r="146" ht="15.75" customHeight="1" s="76"/>
    <row r="147" ht="15.75" customHeight="1" s="76"/>
    <row r="148" ht="15.75" customHeight="1" s="76"/>
    <row r="149" ht="15.75" customHeight="1" s="76"/>
    <row r="150" ht="15.75" customHeight="1" s="76"/>
    <row r="151" ht="15.75" customHeight="1" s="76"/>
    <row r="152" ht="15.75" customHeight="1" s="76"/>
    <row r="153" ht="15.75" customHeight="1" s="76"/>
    <row r="154" ht="15.75" customHeight="1" s="76"/>
    <row r="155" ht="15.75" customHeight="1" s="76"/>
    <row r="156" ht="15.75" customHeight="1" s="76"/>
    <row r="157" ht="15.75" customHeight="1" s="76"/>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ColWidth="14.43" defaultRowHeight="15" customHeight="1" outlineLevelRow="1"/>
  <cols>
    <col width="10.71" customWidth="1" style="76" min="1" max="6"/>
  </cols>
  <sheetData>
    <row r="1">
      <c r="A1" s="112" t="inlineStr">
        <is>
          <t>Relevancia</t>
        </is>
      </c>
      <c r="B1" s="48" t="inlineStr">
        <is>
          <t>Puntaje</t>
        </is>
      </c>
      <c r="C1" s="49" t="n"/>
      <c r="D1" s="49" t="n"/>
      <c r="E1" s="50" t="n"/>
    </row>
    <row r="2">
      <c r="A2" s="113" t="n"/>
      <c r="B2" s="52" t="inlineStr">
        <is>
          <t>Completamente logrado</t>
        </is>
      </c>
      <c r="C2" s="53" t="inlineStr">
        <is>
          <t>Logrado</t>
        </is>
      </c>
      <c r="D2" s="53" t="inlineStr">
        <is>
          <t>Logro incipiente</t>
        </is>
      </c>
      <c r="E2" s="54" t="inlineStr">
        <is>
          <t>No logrado</t>
        </is>
      </c>
    </row>
    <row r="3">
      <c r="A3" s="55" t="inlineStr">
        <is>
          <t>Muy Relevante</t>
        </is>
      </c>
      <c r="B3" s="56" t="n">
        <v>4</v>
      </c>
      <c r="C3" s="56" t="n">
        <v>3</v>
      </c>
      <c r="D3" s="56" t="n">
        <v>2</v>
      </c>
      <c r="E3" s="56" t="n">
        <v>0</v>
      </c>
    </row>
    <row r="4">
      <c r="A4" s="55" t="n"/>
      <c r="B4" s="56" t="n"/>
      <c r="C4" s="56" t="n"/>
      <c r="D4" s="56" t="n"/>
      <c r="E4" s="56" t="n"/>
    </row>
    <row r="5">
      <c r="A5" s="55" t="n"/>
      <c r="B5" s="56" t="n"/>
      <c r="C5" s="56" t="n"/>
      <c r="D5" s="56" t="n"/>
      <c r="E5" s="56" t="n"/>
    </row>
    <row r="21" ht="15.75" customHeight="1" s="76"/>
    <row r="22" ht="15.75" customHeight="1" s="76"/>
    <row r="23" ht="15.75" customHeight="1" s="76"/>
    <row r="24" ht="15.75" customHeight="1" s="76"/>
    <row r="25" ht="15.75" customHeight="1" s="76"/>
    <row r="26" ht="15.75" customHeight="1" s="76"/>
    <row r="27" ht="15.75" customHeight="1" s="76"/>
    <row r="28" ht="15.75" customHeight="1" s="76"/>
    <row r="29" ht="15.75" customHeight="1" s="76"/>
    <row r="30" ht="15.75" customHeight="1" s="76"/>
    <row r="31" ht="15.75" customHeight="1" s="76"/>
    <row r="32" ht="15.75" customHeight="1" s="76"/>
    <row r="33" ht="15.75" customHeight="1" s="76"/>
    <row r="34" ht="15.75" customHeight="1" s="76"/>
    <row r="35" ht="15.75" customHeight="1" s="76"/>
    <row r="36" ht="15.75" customHeight="1" s="76"/>
    <row r="37" ht="15.75" customHeight="1" s="76"/>
    <row r="38" ht="15.75" customHeight="1" s="76"/>
    <row r="39" ht="15.75" customHeight="1" s="76"/>
    <row r="40" ht="15.75" customHeight="1" s="76"/>
    <row r="41" ht="15.75" customHeight="1" s="76"/>
    <row r="42" ht="15.75" customHeight="1" s="76"/>
    <row r="43" ht="15.75" customHeight="1" s="76"/>
    <row r="44" ht="15.75" customHeight="1" s="76"/>
    <row r="45" ht="15.75" customHeight="1" s="76"/>
    <row r="46" ht="15.75" customHeight="1" s="76"/>
    <row r="47" ht="15.75" customHeight="1" s="76"/>
    <row r="48" ht="15.75" customHeight="1" s="76"/>
    <row r="49" ht="15.75" customHeight="1" s="76"/>
    <row r="50" ht="15.75" customHeight="1" s="76"/>
    <row r="51" ht="15.75" customHeight="1" s="76"/>
    <row r="52" ht="15.75" customHeight="1" s="76"/>
    <row r="53" ht="15.75" customHeight="1" s="76"/>
    <row r="54" ht="15.75" customHeight="1" s="76"/>
    <row r="55" ht="15.75" customHeight="1" s="76"/>
    <row r="56" ht="15.75" customHeight="1" s="76"/>
    <row r="57" ht="15.75" customHeight="1" s="76"/>
    <row r="58" ht="15.75" customHeight="1" s="76"/>
    <row r="59" ht="15.75" customHeight="1" s="76"/>
    <row r="60" ht="15.75" customHeight="1" s="76"/>
    <row r="61" ht="15.75" customHeight="1" s="76"/>
    <row r="62" ht="15.75" customHeight="1" s="76"/>
    <row r="63" ht="15.75" customHeight="1" s="76"/>
    <row r="64" ht="15.75" customHeight="1" s="76"/>
    <row r="65" ht="15.75" customHeight="1" s="76"/>
    <row r="66" ht="15.75" customHeight="1" s="76"/>
    <row r="67" ht="15.75" customHeight="1" s="76"/>
    <row r="68" ht="15.75" customHeight="1" s="76"/>
    <row r="69" ht="15.75" customHeight="1" s="76"/>
    <row r="70" ht="15.75" customHeight="1" s="76"/>
    <row r="71" ht="15.75" customHeight="1" s="76"/>
    <row r="72" ht="15.75" customHeight="1" s="76"/>
    <row r="73" ht="15.75" customHeight="1" s="76"/>
    <row r="74" ht="15.75" customHeight="1" s="76"/>
    <row r="75" ht="15.75" customHeight="1" s="76"/>
    <row r="76" ht="15.75" customHeight="1" s="76"/>
    <row r="77" ht="15.75" customHeight="1" s="76"/>
    <row r="78" ht="15.75" customHeight="1" s="76"/>
    <row r="79" ht="15.75" customHeight="1" s="76"/>
    <row r="80" ht="15.75" customHeight="1" s="76"/>
    <row r="81" ht="15.75" customHeight="1" s="76"/>
    <row r="82" ht="15.75" customHeight="1" s="76"/>
    <row r="83" ht="15.75" customHeight="1" s="76"/>
    <row r="84" ht="15.75" customHeight="1" s="76"/>
    <row r="85" ht="15.75" customHeight="1" s="76"/>
    <row r="86" ht="15.75" customHeight="1" s="76"/>
    <row r="87" ht="15.75" customHeight="1" s="76"/>
    <row r="88" ht="15.75" customHeight="1" s="76"/>
    <row r="89" ht="15.75" customHeight="1" s="76"/>
    <row r="90" ht="15.75" customHeight="1" s="76"/>
    <row r="91" ht="15.75" customHeight="1" s="76"/>
    <row r="92" ht="15.75" customHeight="1" s="76"/>
    <row r="93" ht="15.75" customHeight="1" s="76"/>
    <row r="94" ht="15.75" customHeight="1" s="76"/>
    <row r="95" ht="15.75" customHeight="1" s="76"/>
    <row r="96" ht="15.75" customHeight="1" s="76"/>
    <row r="97" ht="15.75" customHeight="1" s="76"/>
    <row r="98" ht="15.75" customHeight="1" s="76"/>
    <row r="99" ht="15.75" customHeight="1" s="76"/>
    <row r="100" ht="15.75" customHeight="1" s="76"/>
    <row r="101" ht="15.75" customHeight="1" s="76"/>
    <row r="102" ht="15.75" customHeight="1" s="76"/>
    <row r="103" ht="15.75" customHeight="1" s="76"/>
    <row r="104" ht="15.75" customHeight="1" s="76"/>
    <row r="105" ht="15.75" customHeight="1" s="76"/>
    <row r="106" ht="15.75" customHeight="1" s="76"/>
    <row r="107" ht="15.75" customHeight="1" s="76"/>
    <row r="108" ht="15.75" customHeight="1" s="76"/>
    <row r="109" ht="15.75" customHeight="1" s="76"/>
    <row r="110" ht="15.75" customHeight="1" s="76"/>
    <row r="111" ht="15.75" customHeight="1" s="76"/>
    <row r="112" ht="15.75" customHeight="1" s="76"/>
    <row r="113" ht="15.75" customHeight="1" s="76"/>
    <row r="114" ht="15.75" customHeight="1" s="76"/>
    <row r="115" ht="15.75" customHeight="1" s="76"/>
    <row r="116" ht="15.75" customHeight="1" s="76"/>
    <row r="117" ht="15.75" customHeight="1" s="76"/>
    <row r="118" ht="15.75" customHeight="1" s="76"/>
    <row r="119" ht="15.75" customHeight="1" s="76"/>
    <row r="120" ht="15.75" customHeight="1" s="76"/>
    <row r="121" ht="15.75" customHeight="1" s="76"/>
    <row r="122" ht="15.75" customHeight="1" s="76"/>
    <row r="123" ht="15.75" customHeight="1" s="76"/>
    <row r="124" ht="15.75" customHeight="1" s="76"/>
    <row r="125" ht="15.75" customHeight="1" s="76"/>
    <row r="126" ht="15.75" customHeight="1" s="76"/>
    <row r="127" ht="15.75" customHeight="1" s="76"/>
    <row r="128" ht="15.75" customHeight="1" s="76"/>
    <row r="129" ht="15.75" customHeight="1" s="76"/>
    <row r="130" ht="15.75" customHeight="1" s="76"/>
    <row r="131" ht="15.75" customHeight="1" s="76"/>
    <row r="132" ht="15.75" customHeight="1" s="76"/>
    <row r="133" ht="15.75" customHeight="1" s="76"/>
    <row r="134" ht="15.75" customHeight="1" s="76"/>
    <row r="135" ht="15.75" customHeight="1" s="76"/>
    <row r="136" ht="15.75" customHeight="1" s="76"/>
    <row r="137" ht="15.75" customHeight="1" s="76"/>
    <row r="138" ht="15.75" customHeight="1" s="76"/>
    <row r="139" ht="15.75" customHeight="1" s="76"/>
    <row r="140" ht="15.75" customHeight="1" s="76"/>
    <row r="141" ht="15.75" customHeight="1" s="76"/>
    <row r="142" ht="15.75" customHeight="1" s="76"/>
    <row r="143" ht="15.75" customHeight="1" s="76"/>
    <row r="144" ht="15.75" customHeight="1" s="76"/>
    <row r="145" ht="15.75" customHeight="1" s="76"/>
    <row r="146" ht="15.75" customHeight="1" s="76"/>
    <row r="147" ht="15.75" customHeight="1" s="76"/>
    <row r="148" ht="15.75" customHeight="1" s="76"/>
    <row r="149" ht="15.75" customHeight="1" s="76"/>
    <row r="150" ht="15.75" customHeight="1" s="76"/>
    <row r="151" ht="15.75" customHeight="1" s="76"/>
    <row r="152" ht="15.75" customHeight="1" s="76"/>
    <row r="153" ht="15.75" customHeight="1" s="76"/>
    <row r="154" ht="15.75" customHeight="1" s="76"/>
    <row r="155" ht="15.75" customHeight="1" s="76"/>
    <row r="156" ht="15.75" customHeight="1" s="76"/>
    <row r="157" ht="15.75" customHeight="1" s="76"/>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2026-08-25T04:04:30Z</dcterms:created>
  <dcterms:modified xmlns:dcterms="http://purl.org/dc/terms/" xmlns:xsi="http://www.w3.org/2001/XMLSchema-instance" xsi:type="dcterms:W3CDTF">2026-08-25T04:04:31Z</dcterms:modified>
</cp:coreProperties>
</file>